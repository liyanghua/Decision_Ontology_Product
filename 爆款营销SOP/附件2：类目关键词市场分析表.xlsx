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词根拆分" sheetId="1" r:id="rId1"/>
    <sheet name="关键词需求归类" sheetId="2" r:id="rId2"/>
    <sheet name="八大需求词根归类分析报告" sheetId="3" r:id="rId3"/>
    <sheet name="细分词分类报告" sheetId="4" r:id="rId4"/>
  </sheets>
  <definedNames>
    <definedName name="_xlnm._FilterDatabase" localSheetId="1">'关键词需求归类'!$A$1:$C$494</definedName>
    <definedName name="_xlnm._FilterDatabase" localSheetId="2">'需求归类分析报告'!$A$1:$F$9</definedName>
    <definedName name="_xlnm._FilterDatabase">#REF!</definedName>
  </definedNames>
  <calcPr calcId="0"/>
</workbook>
</file>

<file path=xl/sharedStrings.xml><?xml version="1.0" encoding="utf-8"?>
<sst xmlns="http://schemas.openxmlformats.org/spreadsheetml/2006/main">
  <si>
    <t>词根</t>
  </si>
  <si>
    <t>搜索人气</t>
  </si>
  <si>
    <t>手链</t>
  </si>
  <si>
    <t>手串</t>
  </si>
  <si>
    <t>朱砂</t>
  </si>
  <si>
    <t>珍珠</t>
  </si>
  <si>
    <t>水晶</t>
  </si>
  <si>
    <t>redline</t>
  </si>
  <si>
    <t>手绳</t>
  </si>
  <si>
    <t>女</t>
  </si>
  <si>
    <t>红绳</t>
  </si>
  <si>
    <t>银</t>
  </si>
  <si>
    <t>潘多拉</t>
  </si>
  <si>
    <t>女生</t>
  </si>
  <si>
    <t>女款</t>
  </si>
  <si>
    <t>四叶草</t>
  </si>
  <si>
    <t>情侣</t>
  </si>
  <si>
    <t>串珠</t>
  </si>
  <si>
    <t>小众</t>
  </si>
  <si>
    <t>绿松石</t>
  </si>
  <si>
    <t>纯银</t>
  </si>
  <si>
    <t>旗舰店</t>
  </si>
  <si>
    <t>官方</t>
  </si>
  <si>
    <t>男士</t>
  </si>
  <si>
    <t>天然</t>
  </si>
  <si>
    <t>紫水晶</t>
  </si>
  <si>
    <t>男款</t>
  </si>
  <si>
    <t>碧玺</t>
  </si>
  <si>
    <t>情绪稳定</t>
  </si>
  <si>
    <t>黑曜石</t>
  </si>
  <si>
    <t>玛瑙</t>
  </si>
  <si>
    <t>石榴石</t>
  </si>
  <si>
    <t>精致</t>
  </si>
  <si>
    <t>男生</t>
  </si>
  <si>
    <t>南红</t>
  </si>
  <si>
    <t>男</t>
  </si>
  <si>
    <t>编织绳</t>
  </si>
  <si>
    <t>佛珠</t>
  </si>
  <si>
    <t>黄水晶</t>
  </si>
  <si>
    <t>轻奢</t>
  </si>
  <si>
    <t>小叶紫檀</t>
  </si>
  <si>
    <t>正品</t>
  </si>
  <si>
    <t>海蓝宝</t>
  </si>
  <si>
    <t>新款</t>
  </si>
  <si>
    <t>编绳</t>
  </si>
  <si>
    <t>十八籽</t>
  </si>
  <si>
    <t>编织</t>
  </si>
  <si>
    <t>手镯</t>
  </si>
  <si>
    <t>手饰</t>
  </si>
  <si>
    <t>纪梵希</t>
  </si>
  <si>
    <t>白水晶</t>
  </si>
  <si>
    <t>檀木</t>
  </si>
  <si>
    <t>粉水晶</t>
  </si>
  <si>
    <t>施华洛世奇</t>
  </si>
  <si>
    <t>配饰</t>
  </si>
  <si>
    <t>判官</t>
  </si>
  <si>
    <t>绿幽灵</t>
  </si>
  <si>
    <t>五花</t>
  </si>
  <si>
    <t>和田玉</t>
  </si>
  <si>
    <t>lv</t>
  </si>
  <si>
    <t>月光石</t>
  </si>
  <si>
    <t>桃木</t>
  </si>
  <si>
    <t>珠子</t>
  </si>
  <si>
    <t>红玛瑙</t>
  </si>
  <si>
    <t>好运</t>
  </si>
  <si>
    <t>琉璃</t>
  </si>
  <si>
    <t>叠戴</t>
  </si>
  <si>
    <t>金丝楠木</t>
  </si>
  <si>
    <t>西太后</t>
  </si>
  <si>
    <t>景德镇</t>
  </si>
  <si>
    <t>一缕瓷</t>
  </si>
  <si>
    <t>虎眼石</t>
  </si>
  <si>
    <t>玉</t>
  </si>
  <si>
    <t>绿檀</t>
  </si>
  <si>
    <t>闺蜜</t>
  </si>
  <si>
    <t>银饰</t>
  </si>
  <si>
    <t>黄金</t>
  </si>
  <si>
    <t>运动感</t>
  </si>
  <si>
    <t>儿童</t>
  </si>
  <si>
    <t>冷门</t>
  </si>
  <si>
    <t>发发发</t>
  </si>
  <si>
    <t>竹节</t>
  </si>
  <si>
    <t>高颜值</t>
  </si>
  <si>
    <t>平安扣</t>
  </si>
  <si>
    <t>女士</t>
  </si>
  <si>
    <t>普陀山</t>
  </si>
  <si>
    <t>学生党</t>
  </si>
  <si>
    <t>青金石</t>
  </si>
  <si>
    <t>apm</t>
  </si>
  <si>
    <t>babama</t>
  </si>
  <si>
    <t>高级</t>
  </si>
  <si>
    <t>碎银</t>
  </si>
  <si>
    <t>蝴蝶</t>
  </si>
  <si>
    <t>红手绳</t>
  </si>
  <si>
    <t>陶瓷</t>
  </si>
  <si>
    <t>金发晶</t>
  </si>
  <si>
    <t>貔貅</t>
  </si>
  <si>
    <t>盘缠</t>
  </si>
  <si>
    <t>穿</t>
  </si>
  <si>
    <t>猫眼石</t>
  </si>
  <si>
    <t>老凤祥</t>
  </si>
  <si>
    <t>草莓晶</t>
  </si>
  <si>
    <t>鲸落</t>
  </si>
  <si>
    <t>转运珠</t>
  </si>
  <si>
    <t>ins</t>
  </si>
  <si>
    <t>设计</t>
  </si>
  <si>
    <t>转运</t>
  </si>
  <si>
    <t>碎银子</t>
  </si>
  <si>
    <t>珠串</t>
  </si>
  <si>
    <t>七夕</t>
  </si>
  <si>
    <t>本命年</t>
  </si>
  <si>
    <t>玉石</t>
  </si>
  <si>
    <t>檀香</t>
  </si>
  <si>
    <t>沙金</t>
  </si>
  <si>
    <t>复古</t>
  </si>
  <si>
    <t>红色</t>
  </si>
  <si>
    <t>翡翠</t>
  </si>
  <si>
    <t>五台山</t>
  </si>
  <si>
    <t>绳</t>
  </si>
  <si>
    <t>梵克雅宝</t>
  </si>
  <si>
    <t>巴黎奥运会</t>
  </si>
  <si>
    <t>周生生</t>
  </si>
  <si>
    <t>同款</t>
  </si>
  <si>
    <t>周大生</t>
  </si>
  <si>
    <t>结绳记</t>
  </si>
  <si>
    <t>新中式</t>
  </si>
  <si>
    <t>咖啡豆</t>
  </si>
  <si>
    <t>一对</t>
  </si>
  <si>
    <t>山鬼花钱</t>
  </si>
  <si>
    <t>小红绳</t>
  </si>
  <si>
    <t>hucares</t>
  </si>
  <si>
    <t>手</t>
  </si>
  <si>
    <t>多宝</t>
  </si>
  <si>
    <t>小狮子</t>
  </si>
  <si>
    <t>紫檀</t>
  </si>
  <si>
    <t>手编绳</t>
  </si>
  <si>
    <t>珊瑚</t>
  </si>
  <si>
    <t>彩虹</t>
  </si>
  <si>
    <t>范琦</t>
  </si>
  <si>
    <t>手作</t>
  </si>
  <si>
    <t>绿檀木</t>
  </si>
  <si>
    <t>阿吉豆</t>
  </si>
  <si>
    <t>橄榄石</t>
  </si>
  <si>
    <t>王昶</t>
  </si>
  <si>
    <t>手饰品</t>
  </si>
  <si>
    <t>南红玛瑙</t>
  </si>
  <si>
    <t>克罗心</t>
  </si>
  <si>
    <t>香灰</t>
  </si>
  <si>
    <t>文玩</t>
  </si>
  <si>
    <t>阿玛尼</t>
  </si>
  <si>
    <t>diy</t>
  </si>
  <si>
    <t>女孩</t>
  </si>
  <si>
    <t>招财</t>
  </si>
  <si>
    <t>籽</t>
  </si>
  <si>
    <t>葫芦</t>
  </si>
  <si>
    <t>石头记</t>
  </si>
  <si>
    <t>钻石</t>
  </si>
  <si>
    <t>淡水珍珠</t>
  </si>
  <si>
    <t>可爱</t>
  </si>
  <si>
    <t>木质</t>
  </si>
  <si>
    <t>孔雀石</t>
  </si>
  <si>
    <t>定情信物</t>
  </si>
  <si>
    <t>tiffany</t>
  </si>
  <si>
    <t>钛钢</t>
  </si>
  <si>
    <t>可穿</t>
  </si>
  <si>
    <t>古巴</t>
  </si>
  <si>
    <t>足银</t>
  </si>
  <si>
    <t>十八子籽</t>
  </si>
  <si>
    <t>蛇骨</t>
  </si>
  <si>
    <t>盘玩</t>
  </si>
  <si>
    <t>蒂芙尼</t>
  </si>
  <si>
    <t>半成品</t>
  </si>
  <si>
    <t>马蹄扣</t>
  </si>
  <si>
    <t>送女友</t>
  </si>
  <si>
    <t>手珠</t>
  </si>
  <si>
    <t>砗磲</t>
  </si>
  <si>
    <t>爱心</t>
  </si>
  <si>
    <t>潘家</t>
  </si>
  <si>
    <t>风格</t>
  </si>
  <si>
    <t>超细</t>
  </si>
  <si>
    <t>海蓝宝石</t>
  </si>
  <si>
    <t>贝壳</t>
  </si>
  <si>
    <t>宝格丽</t>
  </si>
  <si>
    <t>清冷感</t>
  </si>
  <si>
    <t>玫瑰金</t>
  </si>
  <si>
    <t>佩戴</t>
  </si>
  <si>
    <t>男式</t>
  </si>
  <si>
    <t>判官尘不到</t>
  </si>
  <si>
    <t>礼物</t>
  </si>
  <si>
    <t>细</t>
  </si>
  <si>
    <t>香奈儿</t>
  </si>
  <si>
    <t>迪奥</t>
  </si>
  <si>
    <t>仙气</t>
  </si>
  <si>
    <t>春序</t>
  </si>
  <si>
    <t>金包银</t>
  </si>
  <si>
    <t>孙颖莎</t>
  </si>
  <si>
    <t>木</t>
  </si>
  <si>
    <t>awe</t>
  </si>
  <si>
    <t>女友</t>
  </si>
  <si>
    <t>手链绳</t>
  </si>
  <si>
    <t>旺财运</t>
  </si>
  <si>
    <t>聚财</t>
  </si>
  <si>
    <t>纪思梵</t>
  </si>
  <si>
    <t>桃花</t>
  </si>
  <si>
    <t>深圳</t>
  </si>
  <si>
    <t>newrestrict</t>
  </si>
  <si>
    <t>gucci</t>
  </si>
  <si>
    <t>海纹石</t>
  </si>
  <si>
    <t>messika</t>
  </si>
  <si>
    <t>限定</t>
  </si>
  <si>
    <t>平安</t>
  </si>
  <si>
    <t>dior</t>
  </si>
  <si>
    <t>深圳银伯爵</t>
  </si>
  <si>
    <t>newcolor</t>
  </si>
  <si>
    <t>友谊</t>
  </si>
  <si>
    <t>霉霉</t>
  </si>
  <si>
    <t>绝美</t>
  </si>
  <si>
    <t>护身符</t>
  </si>
  <si>
    <t>银曜石</t>
  </si>
  <si>
    <t>僻邪</t>
  </si>
  <si>
    <t>pandora</t>
  </si>
  <si>
    <t>缘分</t>
  </si>
  <si>
    <t>高级感</t>
  </si>
  <si>
    <t>灵隐</t>
  </si>
  <si>
    <t>givenchy</t>
  </si>
  <si>
    <t>夏天</t>
  </si>
  <si>
    <t>橄榄核</t>
  </si>
  <si>
    <t>手工</t>
  </si>
  <si>
    <t>xxyolo</t>
  </si>
  <si>
    <t>hellokitty</t>
  </si>
  <si>
    <t>易烊千玺</t>
  </si>
  <si>
    <t>精灵之眼</t>
  </si>
  <si>
    <t>和田</t>
  </si>
  <si>
    <t>崖柏</t>
  </si>
  <si>
    <t>鲛人语</t>
  </si>
  <si>
    <t>kiki</t>
  </si>
  <si>
    <t>甜橙</t>
  </si>
  <si>
    <t>光与夜之恋</t>
  </si>
  <si>
    <t>商店</t>
  </si>
  <si>
    <t>邮差</t>
  </si>
  <si>
    <t>葡萄石</t>
  </si>
  <si>
    <t>彩色</t>
  </si>
  <si>
    <t>珠宝</t>
  </si>
  <si>
    <t>山鬼</t>
  </si>
  <si>
    <t>水贝</t>
  </si>
  <si>
    <t>进宝</t>
  </si>
  <si>
    <t>青岛</t>
  </si>
  <si>
    <t>猛犸</t>
  </si>
  <si>
    <t>夏日</t>
  </si>
  <si>
    <t>悬溺</t>
  </si>
  <si>
    <t>银河</t>
  </si>
  <si>
    <t>iwyu</t>
  </si>
  <si>
    <t>周大福</t>
  </si>
  <si>
    <t>古风</t>
  </si>
  <si>
    <t>纪梵哲</t>
  </si>
  <si>
    <t>桃核</t>
  </si>
  <si>
    <t>纯</t>
  </si>
  <si>
    <t>养身</t>
  </si>
  <si>
    <t>银千惠</t>
  </si>
  <si>
    <t>念珠</t>
  </si>
  <si>
    <t>春深染</t>
  </si>
  <si>
    <t>信物</t>
  </si>
  <si>
    <t>姐妹</t>
  </si>
  <si>
    <t>银伯爵</t>
  </si>
  <si>
    <t>银手链</t>
  </si>
  <si>
    <t>模块</t>
  </si>
  <si>
    <t>开了光</t>
  </si>
  <si>
    <t>rosededuce</t>
  </si>
  <si>
    <t>首饰</t>
  </si>
  <si>
    <t>巴洛克</t>
  </si>
  <si>
    <t>acherry</t>
  </si>
  <si>
    <t>小饰品</t>
  </si>
  <si>
    <t>库洛米</t>
  </si>
  <si>
    <t>红纹石</t>
  </si>
  <si>
    <t>琉璃珠</t>
  </si>
  <si>
    <t>小碧玺</t>
  </si>
  <si>
    <t>ba饰物局</t>
  </si>
  <si>
    <t>旭平</t>
  </si>
  <si>
    <t>黑檀木</t>
  </si>
  <si>
    <t>六道木</t>
  </si>
  <si>
    <t>天猫国际</t>
  </si>
  <si>
    <t>探物</t>
  </si>
  <si>
    <t>黑绳</t>
  </si>
  <si>
    <t>color</t>
  </si>
  <si>
    <t>new</t>
  </si>
  <si>
    <t>台球</t>
  </si>
  <si>
    <t>代请</t>
  </si>
  <si>
    <t>本地人</t>
  </si>
  <si>
    <t>杭州</t>
  </si>
  <si>
    <t>项链</t>
  </si>
  <si>
    <t>发发</t>
  </si>
  <si>
    <t>绿</t>
  </si>
  <si>
    <t>readline</t>
  </si>
  <si>
    <t>寿山石</t>
  </si>
  <si>
    <t>彩虹色</t>
  </si>
  <si>
    <t>仿真</t>
  </si>
  <si>
    <t>小马宝莉</t>
  </si>
  <si>
    <t>九紫离火</t>
  </si>
  <si>
    <t>韩国</t>
  </si>
  <si>
    <t>treetree</t>
  </si>
  <si>
    <t>classybycashhooked</t>
  </si>
  <si>
    <t>山茶花</t>
  </si>
  <si>
    <t>金坨坨</t>
  </si>
  <si>
    <t>变身</t>
  </si>
  <si>
    <t>紫幽灵</t>
  </si>
  <si>
    <t>手环</t>
  </si>
  <si>
    <t>moon</t>
  </si>
  <si>
    <t>芙月</t>
  </si>
  <si>
    <t>串</t>
  </si>
  <si>
    <t>三青山房</t>
  </si>
  <si>
    <t>超级</t>
  </si>
  <si>
    <t>恶魔之眼</t>
  </si>
  <si>
    <t>有迹</t>
  </si>
  <si>
    <t>婴儿</t>
  </si>
  <si>
    <t>米珠</t>
  </si>
  <si>
    <t>红宝石</t>
  </si>
  <si>
    <t>壅和宫</t>
  </si>
  <si>
    <t>清新</t>
  </si>
  <si>
    <t>东海</t>
  </si>
  <si>
    <t>多层</t>
  </si>
  <si>
    <t>fearless</t>
  </si>
  <si>
    <t>正好吴饰</t>
  </si>
  <si>
    <t>fmvp</t>
  </si>
  <si>
    <t>sale e pepe</t>
  </si>
  <si>
    <t>荟萃楼</t>
  </si>
  <si>
    <t>托帕石</t>
  </si>
  <si>
    <t>与鸟</t>
  </si>
  <si>
    <t>蓝桉</t>
  </si>
  <si>
    <t>珍尚银</t>
  </si>
  <si>
    <t>沉香</t>
  </si>
  <si>
    <t>肯尼亚</t>
  </si>
  <si>
    <t>古法</t>
  </si>
  <si>
    <t>nicole</t>
  </si>
  <si>
    <t>studio</t>
  </si>
  <si>
    <t>两世欢</t>
  </si>
  <si>
    <t>天然石</t>
  </si>
  <si>
    <t>黄子弘凡</t>
  </si>
  <si>
    <t>藕粉</t>
  </si>
  <si>
    <t>加倍</t>
  </si>
  <si>
    <t>异世界</t>
  </si>
  <si>
    <t>连接器</t>
  </si>
  <si>
    <t>小青提</t>
  </si>
  <si>
    <t>汐禾</t>
  </si>
  <si>
    <t>啊鲤鱼</t>
  </si>
  <si>
    <t>潮流店</t>
  </si>
  <si>
    <t>欧洲</t>
  </si>
  <si>
    <t>你的名字</t>
  </si>
  <si>
    <t>周边</t>
  </si>
  <si>
    <t>成就中心</t>
  </si>
  <si>
    <t>moken</t>
  </si>
  <si>
    <t>慢可</t>
  </si>
  <si>
    <t>流苏</t>
  </si>
  <si>
    <t>纯欲</t>
  </si>
  <si>
    <t>臂环</t>
  </si>
  <si>
    <t>蕾丝</t>
  </si>
  <si>
    <t>身体链</t>
  </si>
  <si>
    <t>真珍珠</t>
  </si>
  <si>
    <t>unend</t>
  </si>
  <si>
    <t>道法</t>
  </si>
  <si>
    <t>感应</t>
  </si>
  <si>
    <t>手表</t>
  </si>
  <si>
    <t>毛线</t>
  </si>
  <si>
    <t>庆祥泰</t>
  </si>
  <si>
    <t>番禺</t>
  </si>
  <si>
    <t>光夜</t>
  </si>
  <si>
    <t>if</t>
  </si>
  <si>
    <t>someday</t>
  </si>
  <si>
    <t>viviennewestwood</t>
  </si>
  <si>
    <t>吴越老银铺</t>
  </si>
  <si>
    <t>磁吸</t>
  </si>
  <si>
    <t>山甲纹</t>
  </si>
  <si>
    <t>stillgotwave</t>
  </si>
  <si>
    <t>潮色绘</t>
  </si>
  <si>
    <t>蜜月</t>
  </si>
  <si>
    <t>ff假朋友</t>
  </si>
  <si>
    <t>una</t>
  </si>
  <si>
    <t>小铺</t>
  </si>
  <si>
    <t>花集</t>
  </si>
  <si>
    <t>物件</t>
  </si>
  <si>
    <t>随身</t>
  </si>
  <si>
    <t>les nereides</t>
  </si>
  <si>
    <t>五环</t>
  </si>
  <si>
    <t>奥运</t>
  </si>
  <si>
    <t>别样集市店</t>
  </si>
  <si>
    <t>观照</t>
  </si>
  <si>
    <t>饰品</t>
  </si>
  <si>
    <t>绿宝石</t>
  </si>
  <si>
    <t>孙饼饼</t>
  </si>
  <si>
    <t>韩国购</t>
  </si>
  <si>
    <t>废土风</t>
  </si>
  <si>
    <t>莎莎</t>
  </si>
  <si>
    <t>无畏契约</t>
  </si>
  <si>
    <t>雍合宫</t>
  </si>
  <si>
    <t>周深</t>
  </si>
  <si>
    <t>应援手链</t>
  </si>
  <si>
    <t>皮绳</t>
  </si>
  <si>
    <t>炮城</t>
  </si>
  <si>
    <t>舒俱来</t>
  </si>
  <si>
    <t>21chee</t>
  </si>
  <si>
    <t>福牌</t>
  </si>
  <si>
    <t>中国黄金</t>
  </si>
  <si>
    <t>沉香木</t>
  </si>
  <si>
    <t>银饰品</t>
  </si>
  <si>
    <t>五路财神</t>
  </si>
  <si>
    <t>王楚钦</t>
  </si>
  <si>
    <t>鸡鸣寺</t>
  </si>
  <si>
    <t>天然水晶</t>
  </si>
  <si>
    <t>红瑚珊</t>
  </si>
  <si>
    <t>snowdropone</t>
  </si>
  <si>
    <t>波西米亚</t>
  </si>
  <si>
    <t>伍花姑娘</t>
  </si>
  <si>
    <t>蔬菜</t>
  </si>
  <si>
    <t>钥匙</t>
  </si>
  <si>
    <t>镣铐</t>
  </si>
  <si>
    <t>huhu</t>
  </si>
  <si>
    <t>大壮</t>
  </si>
  <si>
    <t>ohh</t>
  </si>
  <si>
    <t>明天见</t>
  </si>
  <si>
    <t>符</t>
  </si>
  <si>
    <t>金太阳</t>
  </si>
  <si>
    <t>天河石</t>
  </si>
  <si>
    <t>赵晓卉</t>
  </si>
  <si>
    <t>紫牙乌</t>
  </si>
  <si>
    <t>谭木匠</t>
  </si>
  <si>
    <t>像牙</t>
  </si>
  <si>
    <t>核尖</t>
  </si>
  <si>
    <t>椰壳</t>
  </si>
  <si>
    <t>黑檀</t>
  </si>
  <si>
    <t>需求分类</t>
  </si>
  <si>
    <t>品类需求</t>
  </si>
  <si>
    <t>属性需求</t>
  </si>
  <si>
    <t>品牌需求</t>
  </si>
  <si>
    <t>人群需求</t>
  </si>
  <si>
    <t>风格需求</t>
  </si>
  <si>
    <t>功能功效</t>
  </si>
  <si>
    <t>场景需求</t>
  </si>
  <si>
    <t>其他定制需求</t>
  </si>
  <si>
    <t>需求归类</t>
  </si>
  <si>
    <t>搜索人数</t>
  </si>
  <si>
    <t>需求占比</t>
  </si>
  <si>
    <t>分析报告</t>
  </si>
  <si>
    <t>八大需求，最大的是品类词，也是搜索流量的体量词，具有极强的非标属性，客户自己也不知道想买什么样式的，需要逛和游览。其次是属性需求，类目的材质属性极多，主要以水晶玉石类为主，根据趋势分析，要规划在同人群下不同属性材质的趋势节点。人群的50%是女性人群，男性35%，但主词的女性人群占比70% 行业核心人群为女性人群 18-25占比47%</t>
  </si>
  <si>
    <r>
      <rPr>
        <color rgb="FFF54A45"/>
        <rFont val="Calibri"/>
        <sz val="10.5"/>
      </rPr>
      <t xml:space="preserve">品类</t>
    </r>
    <r>
      <rPr>
        <color rgb="FF000000"/>
        <rFont val="Calibri"/>
        <sz val="10.5"/>
      </rPr>
      <t xml:space="preserve">需求</t>
    </r>
  </si>
  <si>
    <t>手链，手串，红绳，串珠为主品类，手链和手串对比更年轻化一些，且消费力也低一些。手绳为趋势性词，主要在12-1月的新年节点</t>
  </si>
  <si>
    <r>
      <rPr>
        <color rgb="FFF54A45"/>
        <rFont val="Calibri"/>
        <sz val="10.5"/>
      </rPr>
      <t xml:space="preserve">属性</t>
    </r>
    <r>
      <rPr>
        <color rgb="FF000000"/>
        <rFont val="Calibri"/>
        <sz val="10.5"/>
      </rPr>
      <t xml:space="preserve">需求</t>
    </r>
  </si>
  <si>
    <t>除朱砂外其他属性需求相对均匀，朱砂使用人群较广，主要集中在30-40岁之间。珍珠人群偏年轻。绿松石年龄30-50之间且高消费力。紫水晶在18-40之间有中偏高消费力。碧玺30-50高消费力人群，玛瑙25-50高消费力。石榴石20-40高消费。南红30-50高消费。黄水晶25-40高消费</t>
  </si>
  <si>
    <r>
      <rPr>
        <color rgb="FFF54A45"/>
        <rFont val="Calibri"/>
        <sz val="10.5"/>
      </rPr>
      <t xml:space="preserve">人群</t>
    </r>
    <r>
      <rPr>
        <color rgb="FF000000"/>
        <rFont val="Calibri"/>
        <sz val="10.5"/>
      </rPr>
      <t xml:space="preserve">需求</t>
    </r>
  </si>
  <si>
    <t>女性人群为主，类目大词的人群占比基本在70%，且人群具有高消费力</t>
  </si>
  <si>
    <r>
      <rPr>
        <color rgb="FFF54A45"/>
        <rFont val="Calibri"/>
        <sz val="10.5"/>
      </rPr>
      <t xml:space="preserve">风格</t>
    </r>
    <r>
      <rPr>
        <color rgb="FF000000"/>
        <rFont val="Calibri"/>
        <sz val="10.5"/>
      </rPr>
      <t xml:space="preserve">需求</t>
    </r>
  </si>
  <si>
    <t>主体分为祝福类和小资轻奢类。</t>
  </si>
  <si>
    <r>
      <rPr>
        <color rgb="FFF54A45"/>
        <rFont val="Calibri"/>
        <sz val="10.5"/>
      </rPr>
      <t xml:space="preserve">场景</t>
    </r>
    <r>
      <rPr>
        <color rgb="FF000000"/>
        <rFont val="Calibri"/>
        <sz val="10.5"/>
      </rPr>
      <t xml:space="preserve">需求</t>
    </r>
  </si>
  <si>
    <t>非主体</t>
  </si>
  <si>
    <r>
      <rPr>
        <color rgb="FFF54A45"/>
        <rFont val="Calibri"/>
        <sz val="10.5"/>
      </rPr>
      <t xml:space="preserve">功能</t>
    </r>
    <r>
      <rPr>
        <color rgb="FF000000"/>
        <rFont val="Calibri"/>
        <sz val="10.5"/>
      </rPr>
      <t xml:space="preserve">功效</t>
    </r>
  </si>
  <si>
    <t>招财类为主体</t>
  </si>
  <si>
    <r>
      <rPr>
        <color rgb="FFF54A45"/>
        <rFont val="Calibri"/>
        <sz val="10.5"/>
      </rPr>
      <t xml:space="preserve">品牌</t>
    </r>
    <r>
      <rPr>
        <color rgb="FF000000"/>
        <rFont val="Calibri"/>
        <sz val="10.5"/>
      </rPr>
      <t xml:space="preserve">需求</t>
    </r>
  </si>
  <si>
    <r>
      <rPr>
        <color rgb="FF000000"/>
        <rFont val="Calibri"/>
        <sz val="10.5"/>
      </rPr>
      <t xml:space="preserve">其他</t>
    </r>
    <r>
      <rPr>
        <color rgb="FFF54A45"/>
        <rFont val="Calibri"/>
        <sz val="10.5"/>
      </rPr>
      <t xml:space="preserve">定制</t>
    </r>
    <r>
      <rPr>
        <color rgb="FF000000"/>
        <rFont val="Calibri"/>
        <sz val="10.5"/>
      </rPr>
      <t xml:space="preserve">需求</t>
    </r>
  </si>
  <si>
    <t>Q2季度：7/8/9 产品布局</t>
  </si>
  <si>
    <t>第二季度关键词趋势变化</t>
  </si>
  <si>
    <t>结论</t>
  </si>
  <si>
    <t>夏季：7-8月虽然仍然有搜索，但是已经是下滑趋势，开款操作来不及，放弃
四季：6月底继续布链接，7-10月持续销售
冬季：10月出现了关键词高占位，9月就需要开始提前操作拉伸对应关键词的权重，8月进行产品开发和包装
防滑固定：8-10月都表现不错，需要具体分析，目前皮沙发专用有关联可以吃这个关键词的流量</t>
  </si>
  <si>
    <t>2024年9月-沙发垫搜索8000+关键词需求分类</t>
  </si>
  <si>
    <t>类目需求词</t>
  </si>
  <si>
    <t>排名</t>
  </si>
  <si>
    <t>关键词</t>
  </si>
  <si>
    <t>搜索指数</t>
  </si>
  <si>
    <t>支付指数</t>
  </si>
  <si>
    <t>需求</t>
  </si>
  <si>
    <t>沙发垫</t>
  </si>
  <si>
    <t>109.33万</t>
  </si>
  <si>
    <t>11.15万</t>
  </si>
  <si>
    <t>沙发盖布</t>
  </si>
  <si>
    <t>78.67万</t>
  </si>
  <si>
    <t>10.83万</t>
  </si>
  <si>
    <t>沙发套罩2024新款</t>
  </si>
  <si>
    <t>44.27万</t>
  </si>
  <si>
    <t>3.04万</t>
  </si>
  <si>
    <t>沙发巾</t>
  </si>
  <si>
    <t>22.19万</t>
  </si>
  <si>
    <t>2.92万</t>
  </si>
  <si>
    <t>沙发坐垫</t>
  </si>
  <si>
    <t>18.56万</t>
  </si>
  <si>
    <t>1.36万</t>
  </si>
  <si>
    <t>沙发垫布</t>
  </si>
  <si>
    <t>13.66万</t>
  </si>
  <si>
    <t>1.63万</t>
  </si>
  <si>
    <t>沙发垫子</t>
  </si>
  <si>
    <t>12.18万</t>
  </si>
  <si>
    <t>沙发布</t>
  </si>
  <si>
    <t>11.92万</t>
  </si>
  <si>
    <t>1.75万</t>
  </si>
  <si>
    <t>沙发盖巾</t>
  </si>
  <si>
    <t>11.53万</t>
  </si>
  <si>
    <t>1.54万</t>
  </si>
  <si>
    <t>沙发垫固定防滑</t>
  </si>
  <si>
    <t>1.27万</t>
  </si>
  <si>
    <t>防滑</t>
  </si>
  <si>
    <t>沙发垫子2024新款四季通用</t>
  </si>
  <si>
    <t>11.14万</t>
  </si>
  <si>
    <t>四季</t>
  </si>
  <si>
    <t>沙发垫2024新款四季通用</t>
  </si>
  <si>
    <t>9.64万</t>
  </si>
  <si>
    <t>沙发垫四季通用2024新款</t>
  </si>
  <si>
    <t>9.41万</t>
  </si>
  <si>
    <t>沙发巾2024年流行新款</t>
  </si>
  <si>
    <t>8.63万</t>
  </si>
  <si>
    <t>沙发巾一整张全盖</t>
  </si>
  <si>
    <t>8.56万</t>
  </si>
  <si>
    <t>高密度海绵垫</t>
  </si>
  <si>
    <t>8.26万</t>
  </si>
  <si>
    <t>海绵</t>
  </si>
  <si>
    <t>沙发垫轻奢高级感</t>
  </si>
  <si>
    <t>7.63万</t>
  </si>
  <si>
    <t>轻奢高级</t>
  </si>
  <si>
    <t>沙发垫坐垫</t>
  </si>
  <si>
    <t>6.56万</t>
  </si>
  <si>
    <t>沙发垫四季通用</t>
  </si>
  <si>
    <t>6.52万</t>
  </si>
  <si>
    <t>1.32万</t>
  </si>
  <si>
    <t>沙发垫海绵垫</t>
  </si>
  <si>
    <t>6.51万</t>
  </si>
  <si>
    <t>沙发四季通用垫</t>
  </si>
  <si>
    <t>5.40万</t>
  </si>
  <si>
    <t>沙发垫四季通用新款2024</t>
  </si>
  <si>
    <t>4.93万</t>
  </si>
  <si>
    <t>沙发垫轻奢高级感简约现代</t>
  </si>
  <si>
    <t>4.56万</t>
  </si>
  <si>
    <t>直排沙发垫</t>
  </si>
  <si>
    <t>4.27万</t>
  </si>
  <si>
    <t>高密度海绵</t>
  </si>
  <si>
    <t>3.92万</t>
  </si>
  <si>
    <t>沙发垫子四季通用</t>
  </si>
  <si>
    <t>3.80万</t>
  </si>
  <si>
    <t>三座一贵妃沙发套</t>
  </si>
  <si>
    <t>3.43万</t>
  </si>
  <si>
    <t>三座一贵妃</t>
  </si>
  <si>
    <t>沙发巾盖布</t>
  </si>
  <si>
    <t>3.35万</t>
  </si>
  <si>
    <t>沙发靠背盖巾</t>
  </si>
  <si>
    <t>3.18万</t>
  </si>
  <si>
    <t>沙发凉席垫</t>
  </si>
  <si>
    <t>2.60万</t>
  </si>
  <si>
    <t>沙发坐垫套罩</t>
  </si>
  <si>
    <t>2.46万</t>
  </si>
  <si>
    <t>四季通用沙发垫</t>
  </si>
  <si>
    <t>2.43万</t>
  </si>
  <si>
    <t>沙发套罩2024新款四季通用</t>
  </si>
  <si>
    <t>2.40万</t>
  </si>
  <si>
    <t>沙发套罩新款2024</t>
  </si>
  <si>
    <t>2.33万</t>
  </si>
  <si>
    <t>防滑沙发垫</t>
  </si>
  <si>
    <t>2.31万</t>
  </si>
  <si>
    <t>四季沙发垫</t>
  </si>
  <si>
    <t>2.24万</t>
  </si>
  <si>
    <t>沙发布盖布</t>
  </si>
  <si>
    <t>2.23万</t>
  </si>
  <si>
    <t>沙发扶手盖巾</t>
  </si>
  <si>
    <t>皮沙发专用套罩</t>
  </si>
  <si>
    <t>2.16万</t>
  </si>
  <si>
    <t>皮沙发</t>
  </si>
  <si>
    <t>通用四季沙发垫</t>
  </si>
  <si>
    <t>沙发垫一片式</t>
  </si>
  <si>
    <t>2.14万</t>
  </si>
  <si>
    <t>沙发全盖布</t>
  </si>
  <si>
    <t>2.01万</t>
  </si>
  <si>
    <t>皮沙发坐垫</t>
  </si>
  <si>
    <t>2.00万</t>
  </si>
  <si>
    <t>沙发坐垫四季通用</t>
  </si>
  <si>
    <t>1.95万</t>
  </si>
  <si>
    <t>三座一贵妃沙发垫</t>
  </si>
  <si>
    <t>1.88万</t>
  </si>
  <si>
    <t>红木沙发坐垫</t>
  </si>
  <si>
    <t>1.87万</t>
  </si>
  <si>
    <t>沙发套三位一贵妃四季通用</t>
  </si>
  <si>
    <t>1.72万</t>
  </si>
  <si>
    <t>2024新款沙发垫</t>
  </si>
  <si>
    <t>1.68万</t>
  </si>
  <si>
    <t>沙发硬板垫</t>
  </si>
  <si>
    <t>1.62万</t>
  </si>
  <si>
    <t>沙发罩盖布</t>
  </si>
  <si>
    <t>1.61万</t>
  </si>
  <si>
    <t>沙发海绵</t>
  </si>
  <si>
    <t>三只羊旗舰店</t>
  </si>
  <si>
    <t>田园沙发垫</t>
  </si>
  <si>
    <t>1.55万</t>
  </si>
  <si>
    <t>50d高密度海绵</t>
  </si>
  <si>
    <t>沙发垫定制</t>
  </si>
  <si>
    <t>1.52万</t>
  </si>
  <si>
    <t>沙发套子定做</t>
  </si>
  <si>
    <t>1.48万</t>
  </si>
  <si>
    <t>新中式沙发垫</t>
  </si>
  <si>
    <t>沙发海绵垫</t>
  </si>
  <si>
    <t>1.41万</t>
  </si>
  <si>
    <t>沙发防滑垫</t>
  </si>
  <si>
    <t>沙发巾2024年新款四季通用</t>
  </si>
  <si>
    <t>1.40万</t>
  </si>
  <si>
    <t>沙发垫子海绵垫</t>
  </si>
  <si>
    <t>沙发套轻奢高级感</t>
  </si>
  <si>
    <t>1.39万</t>
  </si>
  <si>
    <t>皮质沙发专用垫</t>
  </si>
  <si>
    <t>1.37万</t>
  </si>
  <si>
    <t>皮沙发防滑专用垫四季通用</t>
  </si>
  <si>
    <t>沙发凉席坐垫</t>
  </si>
  <si>
    <t>1.35万</t>
  </si>
  <si>
    <t>沙发布盖布高级感</t>
  </si>
  <si>
    <t>防滑沙发套</t>
  </si>
  <si>
    <t>欧式沙发套罩</t>
  </si>
  <si>
    <t>1.33万</t>
  </si>
  <si>
    <t>单人沙发盖布</t>
  </si>
  <si>
    <t>沙发巾高级感轻奢</t>
  </si>
  <si>
    <t>皮沙发垫</t>
  </si>
  <si>
    <t>1.31万</t>
  </si>
  <si>
    <t>沙发背靠巾</t>
  </si>
  <si>
    <t>1.30万</t>
  </si>
  <si>
    <t>沙发海绵垫加厚加硬</t>
  </si>
  <si>
    <t>真皮沙发专用套罩</t>
  </si>
  <si>
    <t>欧式沙发垫子</t>
  </si>
  <si>
    <t>1.29万</t>
  </si>
  <si>
    <t>客厅2024新款沙发垫</t>
  </si>
  <si>
    <t>高密度海绵沙发垫</t>
  </si>
  <si>
    <t>1.25万</t>
  </si>
  <si>
    <t>直排三人位沙发垫</t>
  </si>
  <si>
    <t>沙发凉席</t>
  </si>
  <si>
    <t>1.24万</t>
  </si>
  <si>
    <t>新中式沙发垫套罩</t>
  </si>
  <si>
    <t>沙发盖布轻奢高级感</t>
  </si>
  <si>
    <t>1.23万</t>
  </si>
  <si>
    <t>三座一贵妃沙发巾</t>
  </si>
  <si>
    <t>1.22万</t>
  </si>
  <si>
    <t>沙发盖布全棉</t>
  </si>
  <si>
    <t>棉</t>
  </si>
  <si>
    <t>沙发盖布四季通用</t>
  </si>
  <si>
    <t>四季沙发盖布</t>
  </si>
  <si>
    <t>1.20万</t>
  </si>
  <si>
    <t>雪尼尔沙发垫</t>
  </si>
  <si>
    <t>沙发盖布防滑</t>
  </si>
  <si>
    <t>1.19万</t>
  </si>
  <si>
    <t>单人沙发垫</t>
  </si>
  <si>
    <t>2024年新款沙发垫</t>
  </si>
  <si>
    <t>沙发扶手垫</t>
  </si>
  <si>
    <t>1.17万</t>
  </si>
  <si>
    <t>沙发海绵垫加厚加硬高密度</t>
  </si>
  <si>
    <t>1.16万</t>
  </si>
  <si>
    <t>沙发布盖布一片式</t>
  </si>
  <si>
    <t>红木沙发垫坐垫</t>
  </si>
  <si>
    <t>美式沙发垫</t>
  </si>
  <si>
    <t>1.15万</t>
  </si>
  <si>
    <t>木沙发垫坐垫</t>
  </si>
  <si>
    <t>高密度海绵块</t>
  </si>
  <si>
    <t>1.14万</t>
  </si>
  <si>
    <t>沙发盖布沙发套</t>
  </si>
  <si>
    <t>真皮沙发专用坐垫</t>
  </si>
  <si>
    <t>2024新款沙发盖巾</t>
  </si>
  <si>
    <t>沙发靠背套</t>
  </si>
  <si>
    <t>实木沙发垫</t>
  </si>
  <si>
    <t>沙发毯盖布</t>
  </si>
  <si>
    <t>1.12万</t>
  </si>
  <si>
    <t>异形沙发垫</t>
  </si>
  <si>
    <t>皮沙发垫轻奢高级感四季通用</t>
  </si>
  <si>
    <t>木沙发垫子坐垫</t>
  </si>
  <si>
    <t>1.11万</t>
  </si>
  <si>
    <t>木沙发坐垫靠垫一体</t>
  </si>
  <si>
    <t>直排三人位沙发套</t>
  </si>
  <si>
    <t>1.10万</t>
  </si>
  <si>
    <t>实木沙发坐垫</t>
  </si>
  <si>
    <t>2024新款沙发套</t>
  </si>
  <si>
    <t>真皮沙发垫</t>
  </si>
  <si>
    <t>沙发巾轻奢高级感</t>
  </si>
  <si>
    <t>椅子盖布</t>
  </si>
  <si>
    <t>沙发巾防滑</t>
  </si>
  <si>
    <t>1.09万</t>
  </si>
  <si>
    <t>欧式沙发垫</t>
  </si>
  <si>
    <t>沙发垫三座一贵妃</t>
  </si>
  <si>
    <t>1.08万</t>
  </si>
  <si>
    <t>沙发坐垫高密度海绵</t>
  </si>
  <si>
    <t>1.07万</t>
  </si>
  <si>
    <t>沙发垫四季通用2024新款轻奢高级感</t>
  </si>
  <si>
    <t>沙发垫防滑</t>
  </si>
  <si>
    <t>1.06万</t>
  </si>
  <si>
    <t>沙发坐垫套</t>
  </si>
  <si>
    <t>1.05万</t>
  </si>
  <si>
    <t>沙发垫奶油风</t>
  </si>
  <si>
    <t>1.04万</t>
  </si>
  <si>
    <t>沙发垫夏季</t>
  </si>
  <si>
    <t>1.03万</t>
  </si>
  <si>
    <t>2024新款沙发盖布</t>
  </si>
  <si>
    <t>海绵可裁剪</t>
  </si>
  <si>
    <t>沙发巾靠背巾</t>
  </si>
  <si>
    <t>馨生活家居</t>
  </si>
  <si>
    <t>1.02万</t>
  </si>
  <si>
    <t>沙发垫盖布</t>
  </si>
  <si>
    <t>1.01万</t>
  </si>
  <si>
    <t>蔓越家</t>
  </si>
  <si>
    <t>1.00万</t>
  </si>
  <si>
    <t>沙发客厅2024新款垫</t>
  </si>
  <si>
    <t>海绵沙发垫</t>
  </si>
  <si>
    <t>一片式沙发巾</t>
  </si>
  <si>
    <t>劳伦斯沙发专用垫</t>
  </si>
  <si>
    <t>四人座直排沙发套</t>
  </si>
  <si>
    <t>沙发盖</t>
  </si>
  <si>
    <t>冰丝沙发垫</t>
  </si>
  <si>
    <t>全包沙发套垫</t>
  </si>
  <si>
    <t>纯棉沙发垫</t>
  </si>
  <si>
    <t>直排皮专用沙发垫</t>
  </si>
  <si>
    <t>老式木沙发坐垫</t>
  </si>
  <si>
    <t>沙发套罩2024新款高档客厅</t>
  </si>
  <si>
    <t>实木沙发套罩</t>
  </si>
  <si>
    <t>红木沙发垫</t>
  </si>
  <si>
    <t>高级感沙发垫</t>
  </si>
  <si>
    <t>沙发软垫</t>
  </si>
  <si>
    <t>中式沙发垫</t>
  </si>
  <si>
    <t>2024新款沙发巾</t>
  </si>
  <si>
    <t>贵妃沙发垫</t>
  </si>
  <si>
    <t>四位一妃沙发坐垫</t>
  </si>
  <si>
    <t>中式沙发垫新款2024</t>
  </si>
  <si>
    <t>棉麻沙发垫</t>
  </si>
  <si>
    <t>后构想家居旗舰店</t>
  </si>
  <si>
    <t>中式实木沙发垫</t>
  </si>
  <si>
    <t>沙发垫纯棉</t>
  </si>
  <si>
    <t>皮沙发专用垫</t>
  </si>
  <si>
    <t>美式沙发布</t>
  </si>
  <si>
    <t>沙发垫套</t>
  </si>
  <si>
    <t>沙发垫夏天</t>
  </si>
  <si>
    <t>轻奢高级感沙发垫</t>
  </si>
  <si>
    <t>沙发坐垫定制</t>
  </si>
  <si>
    <t>罗汉床垫子</t>
  </si>
  <si>
    <t>搜索上8000的关键词分类，大词所有产品通用，高需求精准词路归类只有8个，不同人主攻，最大化吃词的流量</t>
  </si>
  <si>
    <t>四季需求</t>
  </si>
  <si>
    <t>负责人</t>
  </si>
  <si>
    <t>防滑需求</t>
  </si>
  <si>
    <t>【王多虎/梦瑶】
按照风格选款运营</t>
  </si>
  <si>
    <t>【梦瑶】
1.皮沙发+防滑结合，打核心卖点，做专，一个卖点从头讲到尾让客户记住相信
2.其他产品防滑正常作为一个普通卖点</t>
  </si>
  <si>
    <t>皮沙发需求</t>
  </si>
  <si>
    <t>9214</t>
  </si>
  <si>
    <t>8335</t>
  </si>
  <si>
    <t>【梦瑶】</t>
  </si>
  <si>
    <t>海绵垫</t>
  </si>
  <si>
    <t>【赵燕】</t>
  </si>
  <si>
    <t>8900</t>
  </si>
  <si>
    <t>8836</t>
  </si>
  <si>
    <t>【王多虎】</t>
  </si>
  <si>
    <t>9857</t>
  </si>
  <si>
    <t>8924</t>
  </si>
  <si>
    <t>9940</t>
  </si>
  <si>
    <t>8762</t>
  </si>
  <si>
    <t>8932</t>
  </si>
  <si>
    <t>8576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</si>
</sst>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0"/>
      <color rgb="FFF54A45"/>
      <name val="等线"/>
    </font>
    <font>
      <sz val="9"/>
      <color rgb="FF000000"/>
      <name val="等线"/>
    </font>
    <font>
      <sz val="11"/>
      <color rgb="FF000000"/>
      <name val="宋体"/>
    </font>
    <font>
      <sz val="12"/>
      <color rgb="FF000000"/>
      <name val="微软雅黑"/>
    </font>
    <font>
      <sz val="12"/>
      <color rgb="FF000000"/>
      <name val="Inter"/>
    </font>
    <font>
      <sz val="10"/>
    </font>
    <font>
      <b/>
      <sz val="20"/>
      <color rgb="FFFFFFFF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0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6F6F6"/>
      </patternFill>
    </fill>
    <fill>
      <patternFill patternType="solid">
        <fgColor rgb="FF34A471"/>
      </patternFill>
    </fill>
    <fill>
      <patternFill patternType="solid">
        <fgColor rgb="FFDDF4EA"/>
      </patternFill>
    </fill>
    <fill>
      <patternFill patternType="solid">
        <fgColor rgb="FFFFF3CA"/>
      </patternFill>
    </fill>
    <fill>
      <patternFill patternType="solid">
        <fgColor rgb="FFE3F2D9"/>
      </patternFill>
    </fill>
    <fill>
      <patternFill patternType="solid">
        <fgColor rgb="FFD2F4F2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6F6F6"/>
      </left>
      <right style="thin">
        <color rgb="FFF6F6F6"/>
      </right>
      <top style="thin">
        <color rgb="FFF6F6F6"/>
      </top>
      <bottom style="thin">
        <color rgb="FFF6F6F6"/>
      </bottom>
      <diagonal/>
    </border>
    <border>
      <left style="thin">
        <color rgb="FF3D6DDA"/>
      </left>
      <right style="thin">
        <color rgb="FF3D6DDA"/>
      </right>
      <top style="thin">
        <color rgb="FF3D6DDA"/>
      </top>
      <bottom style="thin">
        <color rgb="FF3D6DDA"/>
      </bottom>
      <diagonal/>
    </border>
    <border>
      <left style="medium">
        <color rgb="FFF6F6F6"/>
      </left>
      <right style="medium">
        <color rgb="FFF6F6F6"/>
      </right>
      <top style="medium">
        <color rgb="FFF6F6F6"/>
      </top>
      <bottom style="medium">
        <color rgb="FFF6F6F6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10" fontId="5" fillId="0" borderId="2" xfId="0" applyNumberFormat="1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5" fillId="0" borderId="3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4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general" vertical="center"/>
    </xf>
    <xf numFmtId="10" fontId="4" fillId="0" borderId="1" xfId="0" applyNumberFormat="1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10" fontId="4" fillId="0" borderId="1" xfId="0" applyNumberFormat="1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6" xfId="0" applyFont="1" applyBorder="1" applyProtection="1">
      <alignment horizontal="center" vertical="center"/>
    </xf>
    <xf numFmtId="10" fontId="4" fillId="0" borderId="1" xfId="0" applyNumberFormat="1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 wrapText="1"/>
    </xf>
    <xf numFmtId="0" fontId="6" fillId="0" borderId="0" xfId="0" applyFont="1">
      <alignment horizontal="center" vertical="center"/>
    </xf>
    <xf numFmtId="0" fontId="5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9" fontId="6" fillId="0" borderId="0" xfId="0" applyNumberFormat="1" applyFont="1">
      <alignment horizontal="center" vertical="center"/>
    </xf>
    <xf numFmtId="0" fontId="4" fillId="2" borderId="1" xfId="0" applyFont="1" applyFill="1" applyBorder="1" applyProtection="1">
      <alignment horizontal="center" vertical="center"/>
    </xf>
    <xf numFmtId="10" fontId="4" fillId="2" borderId="1" xfId="0" applyNumberFormat="1" applyFont="1" applyFill="1" applyBorder="1" applyProtection="1">
      <alignment horizontal="center" vertical="center"/>
    </xf>
    <xf numFmtId="0" fontId="4" fillId="2" borderId="1" xfId="0" applyFont="1" applyFill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7" fillId="0" borderId="8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8" fillId="0" borderId="0" xfId="0" applyFont="1">
      <alignment horizontal="general" vertical="bottom"/>
    </xf>
    <xf numFmtId="4" fontId="9" fillId="3" borderId="9" xfId="0" applyNumberFormat="1" applyFont="1" applyFill="1" applyBorder="1" applyProtection="1">
      <alignment horizontal="general" vertical="bottom" wrapText="1"/>
    </xf>
    <xf numFmtId="4" fontId="9" fillId="3" borderId="0" xfId="0" applyNumberFormat="1" applyFont="1" applyFill="1">
      <alignment horizontal="general" vertical="bottom" wrapText="1"/>
    </xf>
    <xf numFmtId="0" fontId="9" fillId="3" borderId="9" xfId="0" applyFont="1" applyFill="1" applyBorder="1" applyProtection="1">
      <alignment horizontal="general" vertical="bottom" wrapText="1"/>
    </xf>
    <xf numFmtId="0" fontId="9" fillId="3" borderId="0" xfId="0" applyFont="1" applyFill="1">
      <alignment horizontal="general" vertical="bottom" wrapText="1"/>
    </xf>
    <xf numFmtId="3" fontId="9" fillId="3" borderId="9" xfId="0" applyNumberFormat="1" applyFont="1" applyFill="1" applyBorder="1" applyProtection="1">
      <alignment horizontal="general" vertical="bottom" wrapText="1"/>
    </xf>
    <xf numFmtId="3" fontId="9" fillId="3" borderId="0" xfId="0" applyNumberFormat="1" applyFont="1" applyFill="1">
      <alignment horizontal="general" vertical="bottom" wrapText="1"/>
    </xf>
    <xf numFmtId="0" fontId="10" fillId="0" borderId="0" xfId="0" applyFont="1">
      <alignment vertical="center"/>
    </xf>
    <xf numFmtId="0" fontId="11" fillId="4" borderId="10" xfId="0" applyFont="1" applyFill="1" applyBorder="1" applyProtection="1">
      <alignment horizontal="center" vertical="center" wrapText="1"/>
    </xf>
    <xf numFmtId="0" fontId="12" fillId="0" borderId="0" xfId="0" applyFont="1">
      <alignment vertical="center"/>
    </xf>
    <xf numFmtId="0" fontId="12" fillId="5" borderId="11" xfId="0" applyFont="1" applyFill="1" applyBorder="1" applyProtection="1">
      <alignment horizontal="center" vertical="center" wrapText="1"/>
    </xf>
    <xf numFmtId="0" fontId="12" fillId="6" borderId="11" xfId="0" applyFont="1" applyFill="1" applyBorder="1" applyProtection="1">
      <alignment horizontal="left" vertical="center" wrapText="1"/>
    </xf>
    <xf numFmtId="0" fontId="12" fillId="0" borderId="0" xfId="0" applyFont="1">
      <alignment horizontal="center" vertical="center" wrapText="1"/>
    </xf>
    <xf numFmtId="0" fontId="12" fillId="0" borderId="0" xfId="0" applyFont="1">
      <alignment horizontal="right" vertical="center" wrapText="1"/>
    </xf>
    <xf numFmtId="3" fontId="12" fillId="0" borderId="0" xfId="0" applyNumberFormat="1" applyFont="1">
      <alignment horizontal="right" vertical="center" wrapText="1"/>
    </xf>
    <xf numFmtId="0" fontId="12" fillId="6" borderId="10" xfId="0" applyFont="1" applyFill="1" applyBorder="1" applyProtection="1">
      <alignment horizontal="center" vertical="center" wrapText="1"/>
    </xf>
    <xf numFmtId="0" fontId="12" fillId="7" borderId="12" xfId="0" applyFont="1" applyFill="1" applyBorder="1" applyProtection="1">
      <alignment horizontal="center" vertical="center" wrapText="1"/>
    </xf>
    <xf numFmtId="0" fontId="12" fillId="7" borderId="12" xfId="0" applyFont="1" applyFill="1" applyBorder="1" applyProtection="1">
      <alignment vertical="center"/>
    </xf>
    <xf numFmtId="0" fontId="12" fillId="7" borderId="12" xfId="0" applyFont="1" applyFill="1" applyBorder="1" applyProtection="1">
      <alignment horizontal="center" vertical="center"/>
    </xf>
    <xf numFmtId="0" fontId="12" fillId="8" borderId="12" xfId="0" applyFont="1" applyFill="1" applyBorder="1" applyProtection="1">
      <alignment horizontal="center" vertical="center"/>
    </xf>
    <xf numFmtId="0" fontId="12" fillId="8" borderId="12" xfId="0" applyFont="1" applyFill="1" applyBorder="1" applyProtection="1">
      <alignment vertical="center"/>
    </xf>
    <xf numFmtId="0" fontId="12" fillId="8" borderId="12" xfId="0" applyFont="1" applyFill="1" applyBorder="1" applyProtection="1">
      <alignment horizontal="left" vertical="center"/>
    </xf>
    <xf numFmtId="0" fontId="12" fillId="8" borderId="12" xfId="0" applyFont="1" applyFill="1" applyBorder="1" applyProtection="1">
      <alignment horizontal="center" vertical="center" wrapText="1"/>
    </xf>
    <xf numFmtId="0" fontId="12" fillId="0" borderId="0" xfId="0" applyFont="1">
      <alignment vertical="center" wrapText="1"/>
    </xf>
    <xf numFmtId="0" fontId="12" fillId="7" borderId="12" xfId="0" applyFont="1" applyFill="1" applyBorder="1" applyProtection="1">
      <alignment horizontal="right" vertical="center"/>
    </xf>
    <xf numFmtId="0" fontId="12" fillId="9" borderId="12" xfId="0" applyFont="1" applyFill="1" applyBorder="1" applyProtection="1">
      <alignment vertical="center"/>
    </xf>
    <xf numFmtId="0" fontId="12" fillId="9" borderId="13" xfId="0" applyFont="1" applyFill="1" applyBorder="1" applyProtection="1">
      <alignment vertical="center"/>
    </xf>
    <xf numFmtId="0" fontId="12" fillId="8" borderId="12" xfId="0" quotePrefix="1" applyFont="1" applyFill="1" applyBorder="1" applyProtection="1">
      <alignment horizontal="left" vertical="center"/>
    </xf>
    <xf numFmtId="0" fontId="12" fillId="6" borderId="12" xfId="0" applyFont="1" applyFill="1" applyBorder="1" applyProtection="1">
      <alignment horizontal="center" vertical="center" wrapText="1"/>
    </xf>
    <xf numFmtId="0" fontId="12" fillId="6" borderId="12" xfId="0" applyFont="1" applyFill="1" applyBorder="1" applyProtection="1">
      <alignment vertical="center"/>
    </xf>
    <xf numFmtId="0" fontId="12" fillId="6" borderId="12" xfId="0" applyFont="1" applyFill="1" applyBorder="1" applyProtection="1">
      <alignment horizontal="left" vertical="center"/>
    </xf>
    <xf numFmtId="0" fontId="12" fillId="6" borderId="12" xfId="0" applyFont="1" applyFill="1" applyBorder="1" applyProtection="1">
      <alignment horizontal="center" vertical="center"/>
    </xf>
    <xf numFmtId="0" fontId="12" fillId="6" borderId="12" xfId="0" quotePrefix="1" applyFont="1" applyFill="1" applyBorder="1" applyProtection="1">
      <alignment horizontal="left" vertical="center"/>
    </xf>
    <xf numFmtId="0" fontId="12" fillId="7" borderId="12" xfId="0" quotePrefix="1" applyFont="1" applyFill="1" applyBorder="1" applyProtection="1">
      <alignment horizontal="left" vertical="center"/>
    </xf>
    <xf numFmtId="0" fontId="13" fillId="6" borderId="11" xfId="0" applyFont="1" applyFill="1" applyBorder="1" applyProtection="1">
      <alignment horizontal="left" vertical="center" wrapText="1"/>
    </xf>
    <xf numFmtId="0" fontId="14" fillId="7" borderId="12" xfId="0" applyFont="1" applyFill="1" applyBorder="1" applyProtection="1">
      <alignment horizontal="center" vertical="center" wrapText="1"/>
    </xf>
    <xf numFmtId="0" fontId="15" fillId="8" borderId="12" xfId="0" applyFont="1" applyFill="1" applyBorder="1" applyProtection="1">
      <alignment horizontal="center" vertical="center" wrapText="1"/>
    </xf>
    <xf numFmtId="0" fontId="16" fillId="7" borderId="12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78921</xdr:colOff>
      <xdr:row>1</xdr:row>
      <xdr:rowOff>125186</xdr:rowOff>
    </xdr:from>
    <xdr:ext cx="10382250" cy="4894489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2.75" customHeight="1"/>
  <cols>
    <col min="1" max="1" width="12.83203125" customWidth="1" style="19"/>
    <col min="2" max="2" width="10.6640625" customWidth="1" style="19"/>
    <col min="4" max="4" width="20.1650390625" customWidth="1" style="5"/>
    <col min="5" max="5" width="6.6650390625" customWidth="1" style="5"/>
    <col min="6" max="6" width="14.33203125" customWidth="1" style="5"/>
    <col min="7" max="7" width="14.8330078125" customWidth="1" style="5"/>
    <col min="8" max="8" width="9.498046875" style="5"/>
  </cols>
  <sheetData>
    <row r="1" s="46" customFormat="1" ht="12.75" customHeight="1">
      <c r="A1" s="40" t="s">
        <v>0</v>
      </c>
      <c r="B1" s="40" t="s">
        <v>1</v>
      </c>
      <c r="F1" s="46" t="s">
        <f t="array" ref="F1">INDEX($D$1:$D$861,ROW()*2)</f>
        <v>2</v>
      </c>
      <c r="G1" s="46" t="n">
        <f t="array" ref="G1">INDEX($D$1:$D$861,ROW()*4-1)</f>
        <v>1234.43</v>
      </c>
      <c r="H1" s="5" t="n">
        <f>G1*10000</f>
        <v>12344300</v>
      </c>
    </row>
    <row r="2" ht="12.75" customHeight="1">
      <c r="A2" s="19" t="s">
        <v>2</v>
      </c>
      <c r="B2" s="19" t="n">
        <v>12344300</v>
      </c>
      <c r="D2" s="47" t="s">
        <v>2</v>
      </c>
      <c r="E2" s="47"/>
      <c r="F2" s="46" t="s">
        <f t="array" ref="F2">INDEX($D$1:$D$861,ROW()*2)</f>
        <v>3</v>
      </c>
      <c r="G2" s="46" t="n">
        <f t="array" ref="G2">INDEX($D$1:$D$861,ROW()*4-1)</f>
        <v>166.37</v>
      </c>
      <c r="H2" s="5" t="n">
        <f>G2*10000</f>
        <v>1663700</v>
      </c>
    </row>
    <row r="3" ht="18" customHeight="1">
      <c r="A3" s="19" t="s">
        <v>3</v>
      </c>
      <c r="B3" s="19" t="n">
        <v>5805400</v>
      </c>
      <c r="D3" s="48" t="n">
        <v>1234.43</v>
      </c>
      <c r="E3" s="49"/>
      <c r="F3" s="46" t="s">
        <f t="array" ref="F3">INDEX($D$1:$D$861,ROW()*2)</f>
        <v>4</v>
      </c>
      <c r="G3" s="46" t="n">
        <f t="array" ref="G3">INDEX($D$1:$D$861,ROW()*4-1)</f>
        <v>75.49</v>
      </c>
      <c r="H3" s="5" t="n">
        <f>G3*10000</f>
        <v>754900</v>
      </c>
    </row>
    <row r="4" ht="12.75" customHeight="1">
      <c r="A4" s="19" t="s">
        <v>4</v>
      </c>
      <c r="B4" s="19" t="n">
        <v>1663700</v>
      </c>
      <c r="D4" s="47" t="s">
        <v>3</v>
      </c>
      <c r="E4" s="47"/>
      <c r="F4" s="46" t="s">
        <f t="array" ref="F4">INDEX($D$1:$D$861,ROW()*2)</f>
        <v>5</v>
      </c>
      <c r="G4" s="46" t="n">
        <f t="array" ref="G4">INDEX($D$1:$D$861,ROW()*4-1)</f>
        <v>56.32</v>
      </c>
      <c r="H4" s="5" t="n">
        <f>G4*10000</f>
        <v>563200</v>
      </c>
    </row>
    <row r="5" ht="18" customHeight="1">
      <c r="A5" s="19" t="s">
        <v>5</v>
      </c>
      <c r="B5" s="19" t="n">
        <v>1034200</v>
      </c>
      <c r="D5" s="50" t="n">
        <v>580.54</v>
      </c>
      <c r="E5" s="51"/>
      <c r="F5" s="46" t="s">
        <f t="array" ref="F5">INDEX($D$1:$D$861,ROW()*2)</f>
        <v>6</v>
      </c>
      <c r="G5" s="46" t="n">
        <f t="array" ref="G5">INDEX($D$1:$D$861,ROW()*4-1)</f>
        <v>51.6</v>
      </c>
      <c r="H5" s="5" t="n">
        <f>G5*10000</f>
        <v>516000</v>
      </c>
    </row>
    <row r="6" ht="12.75" customHeight="1">
      <c r="A6" s="19" t="s">
        <v>6</v>
      </c>
      <c r="B6" s="19" t="n">
        <v>754900</v>
      </c>
      <c r="D6" s="47" t="s">
        <v>4</v>
      </c>
      <c r="E6" s="47"/>
      <c r="F6" s="46" t="s">
        <f t="array" ref="F6">INDEX($D$1:$D$861,ROW()*2)</f>
        <v>7</v>
      </c>
      <c r="G6" s="46" t="n">
        <f t="array" ref="G6">INDEX($D$1:$D$861,ROW()*4-1)</f>
        <v>41.54</v>
      </c>
      <c r="H6" s="5" t="n">
        <f>G6*10000</f>
        <v>415400</v>
      </c>
    </row>
    <row r="7" ht="18" customHeight="1">
      <c r="A7" s="19" t="s">
        <v>7</v>
      </c>
      <c r="B7" s="19" t="n">
        <v>690500</v>
      </c>
      <c r="D7" s="50" t="n">
        <v>166.37</v>
      </c>
      <c r="E7" s="51"/>
      <c r="F7" s="46" t="s">
        <f t="array" ref="F7">INDEX($D$1:$D$861,ROW()*2)</f>
        <v>8</v>
      </c>
      <c r="G7" s="46" t="n">
        <f t="array" ref="G7">INDEX($D$1:$D$861,ROW()*4-1)</f>
        <v>40.03</v>
      </c>
      <c r="H7" s="5" t="n">
        <f>G7*10000</f>
        <v>400300</v>
      </c>
    </row>
    <row r="8" ht="12.75" customHeight="1">
      <c r="A8" s="19" t="s">
        <v>8</v>
      </c>
      <c r="B8" s="19" t="n">
        <v>563200</v>
      </c>
      <c r="D8" s="47" t="s">
        <v>5</v>
      </c>
      <c r="E8" s="47"/>
      <c r="F8" s="46" t="s">
        <f t="array" ref="F8">INDEX($D$1:$D$861,ROW()*2)</f>
        <v>9</v>
      </c>
      <c r="G8" s="46" t="n">
        <f t="array" ref="G8">INDEX($D$1:$D$861,ROW()*4-1)</f>
        <v>38.16</v>
      </c>
      <c r="H8" s="5" t="n">
        <f>G8*10000</f>
        <v>381600</v>
      </c>
    </row>
    <row r="9" ht="18" customHeight="1">
      <c r="A9" s="19" t="s">
        <v>9</v>
      </c>
      <c r="B9" s="19" t="n">
        <v>545000</v>
      </c>
      <c r="D9" s="50" t="n">
        <v>103.42</v>
      </c>
      <c r="E9" s="51"/>
      <c r="F9" s="46" t="s">
        <f t="array" ref="F9">INDEX($D$1:$D$861,ROW()*2)</f>
        <v>10</v>
      </c>
      <c r="G9" s="46" t="n">
        <f t="array" ref="G9">INDEX($D$1:$D$861,ROW()*4-1)</f>
        <v>35.81</v>
      </c>
      <c r="H9" s="5" t="n">
        <f>G9*10000</f>
        <v>358100</v>
      </c>
    </row>
    <row r="10" ht="12.75" customHeight="1">
      <c r="A10" s="19" t="s">
        <v>10</v>
      </c>
      <c r="B10" s="19" t="n">
        <v>516000</v>
      </c>
      <c r="D10" s="47" t="s">
        <v>6</v>
      </c>
      <c r="E10" s="47"/>
      <c r="F10" s="46" t="s">
        <f t="array" ref="F10">INDEX($D$1:$D$861,ROW()*2)</f>
        <v>11</v>
      </c>
      <c r="G10" s="46" t="n">
        <f t="array" ref="G10">INDEX($D$1:$D$861,ROW()*4-1)</f>
        <v>33.99</v>
      </c>
      <c r="H10" s="5" t="n">
        <f>G10*10000</f>
        <v>339900</v>
      </c>
    </row>
    <row r="11" ht="18" customHeight="1">
      <c r="A11" s="19" t="s">
        <v>11</v>
      </c>
      <c r="B11" s="19" t="n">
        <v>451500</v>
      </c>
      <c r="D11" s="50" t="n">
        <v>75.49</v>
      </c>
      <c r="E11" s="51"/>
      <c r="F11" s="46" t="s">
        <f t="array" ref="F11">INDEX($D$1:$D$861,ROW()*2)</f>
        <v>12</v>
      </c>
      <c r="G11" s="46" t="n">
        <f t="array" ref="G11">INDEX($D$1:$D$861,ROW()*4-1)</f>
        <v>30.42</v>
      </c>
      <c r="H11" s="5" t="n">
        <f>G11*10000</f>
        <v>304200</v>
      </c>
    </row>
    <row r="12" ht="12.75" customHeight="1">
      <c r="A12" s="19" t="s">
        <v>12</v>
      </c>
      <c r="B12" s="19" t="n">
        <v>415400</v>
      </c>
      <c r="D12" s="47" t="s">
        <v>7</v>
      </c>
      <c r="E12" s="47"/>
      <c r="F12" s="46" t="s">
        <f t="array" ref="F12">INDEX($D$1:$D$861,ROW()*2)</f>
        <v>13</v>
      </c>
      <c r="G12" s="46" t="n">
        <f t="array" ref="G12">INDEX($D$1:$D$861,ROW()*4-1)</f>
        <v>29.61</v>
      </c>
      <c r="H12" s="5" t="n">
        <f>G12*10000</f>
        <v>296100</v>
      </c>
    </row>
    <row r="13" ht="18" customHeight="1">
      <c r="A13" s="19" t="s">
        <v>13</v>
      </c>
      <c r="B13" s="19" t="n">
        <v>401300</v>
      </c>
      <c r="D13" s="50" t="n">
        <v>69.05</v>
      </c>
      <c r="E13" s="51"/>
      <c r="F13" s="46" t="s">
        <f t="array" ref="F13">INDEX($D$1:$D$861,ROW()*2)</f>
        <v>14</v>
      </c>
      <c r="G13" s="46" t="n">
        <f t="array" ref="G13">INDEX($D$1:$D$861,ROW()*4-1)</f>
        <v>29.35</v>
      </c>
      <c r="H13" s="5" t="n">
        <f>G13*10000</f>
        <v>293500</v>
      </c>
    </row>
    <row r="14" ht="12.75" customHeight="1">
      <c r="A14" s="19" t="s">
        <v>14</v>
      </c>
      <c r="B14" s="19" t="n">
        <v>400300</v>
      </c>
      <c r="D14" s="47" t="s">
        <v>8</v>
      </c>
      <c r="E14" s="47"/>
      <c r="F14" s="46" t="s">
        <f t="array" ref="F14">INDEX($D$1:$D$861,ROW()*2)</f>
        <v>15</v>
      </c>
      <c r="G14" s="46" t="n">
        <f t="array" ref="G14">INDEX($D$1:$D$861,ROW()*4-1)</f>
        <v>27.16</v>
      </c>
      <c r="H14" s="5" t="n">
        <f>G14*10000</f>
        <v>271600</v>
      </c>
    </row>
    <row r="15" ht="18" customHeight="1">
      <c r="A15" s="19" t="s">
        <v>15</v>
      </c>
      <c r="B15" s="19" t="n">
        <v>384600</v>
      </c>
      <c r="D15" s="50" t="n">
        <v>56.32</v>
      </c>
      <c r="E15" s="51"/>
      <c r="F15" s="46" t="s">
        <f t="array" ref="F15">INDEX($D$1:$D$861,ROW()*2)</f>
        <v>16</v>
      </c>
      <c r="G15" s="46" t="n">
        <f t="array" ref="G15">INDEX($D$1:$D$861,ROW()*4-1)</f>
        <v>26.06</v>
      </c>
      <c r="H15" s="5" t="n">
        <f>G15*10000</f>
        <v>260600</v>
      </c>
    </row>
    <row r="16" ht="12.75" customHeight="1">
      <c r="A16" s="19" t="s">
        <v>16</v>
      </c>
      <c r="B16" s="19" t="n">
        <v>381600</v>
      </c>
      <c r="D16" s="47" t="s">
        <v>9</v>
      </c>
      <c r="E16" s="47"/>
      <c r="F16" s="46" t="s">
        <f t="array" ref="F16">INDEX($D$1:$D$861,ROW()*2)</f>
        <v>17</v>
      </c>
      <c r="G16" s="46" t="n">
        <f t="array" ref="G16">INDEX($D$1:$D$861,ROW()*4-1)</f>
        <v>23.54</v>
      </c>
      <c r="H16" s="5" t="n">
        <f>G16*10000</f>
        <v>235400</v>
      </c>
    </row>
    <row r="17" ht="18" customHeight="1">
      <c r="A17" s="19" t="s">
        <v>17</v>
      </c>
      <c r="B17" s="19" t="n">
        <v>377100</v>
      </c>
      <c r="D17" s="50" t="n">
        <v>54.5</v>
      </c>
      <c r="E17" s="51"/>
      <c r="F17" s="46" t="s">
        <f t="array" ref="F17">INDEX($D$1:$D$861,ROW()*2)</f>
        <v>18</v>
      </c>
      <c r="G17" s="46" t="n">
        <f t="array" ref="G17">INDEX($D$1:$D$861,ROW()*4-1)</f>
        <v>23.16</v>
      </c>
      <c r="H17" s="5" t="n">
        <f>G17*10000</f>
        <v>231600</v>
      </c>
    </row>
    <row r="18" ht="12.75" customHeight="1">
      <c r="A18" s="19" t="s">
        <v>18</v>
      </c>
      <c r="B18" s="19" t="n">
        <v>358100</v>
      </c>
      <c r="D18" s="47" t="s">
        <v>10</v>
      </c>
      <c r="E18" s="47"/>
      <c r="F18" s="46" t="s">
        <f t="array" ref="F18">INDEX($D$1:$D$861,ROW()*2)</f>
        <v>19</v>
      </c>
      <c r="G18" s="46" t="n">
        <f t="array" ref="G18">INDEX($D$1:$D$861,ROW()*4-1)</f>
        <v>21.45</v>
      </c>
      <c r="H18" s="5" t="n">
        <f>G18*10000</f>
        <v>214500</v>
      </c>
    </row>
    <row r="19" ht="18" customHeight="1">
      <c r="A19" s="19" t="s">
        <v>19</v>
      </c>
      <c r="B19" s="19" t="n">
        <v>352200</v>
      </c>
      <c r="D19" s="50" t="n">
        <v>51.6</v>
      </c>
      <c r="E19" s="51"/>
      <c r="F19" s="46" t="s">
        <f t="array" ref="F19">INDEX($D$1:$D$861,ROW()*2)</f>
        <v>20</v>
      </c>
      <c r="G19" s="46" t="n">
        <f t="array" ref="G19">INDEX($D$1:$D$861,ROW()*4-1)</f>
        <v>20.13</v>
      </c>
      <c r="H19" s="5" t="n">
        <f>G19*10000</f>
        <v>201300</v>
      </c>
    </row>
    <row r="20" ht="12.75" customHeight="1">
      <c r="A20" s="19" t="s">
        <v>20</v>
      </c>
      <c r="B20" s="19" t="n">
        <v>339900</v>
      </c>
      <c r="D20" s="47" t="s">
        <v>11</v>
      </c>
      <c r="E20" s="47"/>
      <c r="F20" s="46" t="s">
        <f t="array" ref="F20">INDEX($D$1:$D$861,ROW()*2)</f>
        <v>21</v>
      </c>
      <c r="G20" s="46" t="n">
        <f t="array" ref="G20">INDEX($D$1:$D$861,ROW()*4-1)</f>
        <v>19.21</v>
      </c>
      <c r="H20" s="5" t="n">
        <f>G20*10000</f>
        <v>192100</v>
      </c>
    </row>
    <row r="21" ht="18" customHeight="1">
      <c r="A21" s="19" t="s">
        <v>21</v>
      </c>
      <c r="B21" s="19" t="n">
        <v>338800</v>
      </c>
      <c r="D21" s="50" t="n">
        <v>45.15</v>
      </c>
      <c r="E21" s="51"/>
      <c r="F21" s="46" t="s">
        <f t="array" ref="F21">INDEX($D$1:$D$861,ROW()*2)</f>
        <v>22</v>
      </c>
      <c r="G21" s="46" t="n">
        <f t="array" ref="G21">INDEX($D$1:$D$861,ROW()*4-1)</f>
        <v>17.46</v>
      </c>
      <c r="H21" s="5" t="n">
        <f>G21*10000</f>
        <v>174600</v>
      </c>
    </row>
    <row r="22" ht="12.75" customHeight="1">
      <c r="A22" s="19" t="s">
        <v>22</v>
      </c>
      <c r="B22" s="19" t="n">
        <v>304200</v>
      </c>
      <c r="D22" s="47" t="s">
        <v>12</v>
      </c>
      <c r="E22" s="47"/>
      <c r="F22" s="46" t="s">
        <f t="array" ref="F22">INDEX($D$1:$D$861,ROW()*2)</f>
        <v>23</v>
      </c>
      <c r="G22" s="46" t="n">
        <f t="array" ref="G22">INDEX($D$1:$D$861,ROW()*4-1)</f>
        <v>16.55</v>
      </c>
      <c r="H22" s="5" t="n">
        <f>G22*10000</f>
        <v>165500</v>
      </c>
    </row>
    <row r="23" ht="18" customHeight="1">
      <c r="A23" s="19" t="s">
        <v>23</v>
      </c>
      <c r="B23" s="19" t="n">
        <v>296600</v>
      </c>
      <c r="D23" s="50" t="n">
        <v>41.54</v>
      </c>
      <c r="E23" s="51"/>
      <c r="F23" s="46" t="s">
        <f t="array" ref="F23">INDEX($D$1:$D$861,ROW()*2)</f>
        <v>24</v>
      </c>
      <c r="G23" s="46" t="n">
        <f t="array" ref="G23">INDEX($D$1:$D$861,ROW()*4-1)</f>
        <v>16.36</v>
      </c>
      <c r="H23" s="5" t="n">
        <f>G23*10000</f>
        <v>163600</v>
      </c>
    </row>
    <row r="24" ht="12.75" customHeight="1">
      <c r="A24" s="19" t="s">
        <v>24</v>
      </c>
      <c r="B24" s="19" t="n">
        <v>296100</v>
      </c>
      <c r="D24" s="47" t="s">
        <v>13</v>
      </c>
      <c r="E24" s="47"/>
      <c r="F24" s="46" t="s">
        <f t="array" ref="F24">INDEX($D$1:$D$861,ROW()*2)</f>
        <v>25</v>
      </c>
      <c r="G24" s="46" t="n">
        <f t="array" ref="G24">INDEX($D$1:$D$861,ROW()*4-1)</f>
        <v>15.03</v>
      </c>
      <c r="H24" s="5" t="n">
        <f>G24*10000</f>
        <v>150300</v>
      </c>
    </row>
    <row r="25" ht="18" customHeight="1">
      <c r="A25" s="19" t="s">
        <v>25</v>
      </c>
      <c r="B25" s="19" t="n">
        <v>295700</v>
      </c>
      <c r="D25" s="50" t="n">
        <v>40.13</v>
      </c>
      <c r="E25" s="51"/>
      <c r="F25" s="46" t="s">
        <f t="array" ref="F25">INDEX($D$1:$D$861,ROW()*2)</f>
        <v>26</v>
      </c>
      <c r="G25" s="46" t="n">
        <f t="array" ref="G25">INDEX($D$1:$D$861,ROW()*4-1)</f>
        <v>14.7</v>
      </c>
      <c r="H25" s="5" t="n">
        <f>G25*10000</f>
        <v>147000</v>
      </c>
    </row>
    <row r="26" ht="12.75" customHeight="1">
      <c r="A26" s="19" t="s">
        <v>26</v>
      </c>
      <c r="B26" s="19" t="n">
        <v>293500</v>
      </c>
      <c r="D26" s="47" t="s">
        <v>14</v>
      </c>
      <c r="E26" s="47"/>
      <c r="F26" s="46" t="s">
        <f t="array" ref="F26">INDEX($D$1:$D$861,ROW()*2)</f>
        <v>27</v>
      </c>
      <c r="G26" s="46" t="n">
        <f t="array" ref="G26">INDEX($D$1:$D$861,ROW()*4-1)</f>
        <v>13.63</v>
      </c>
      <c r="H26" s="5" t="n">
        <f>G26*10000</f>
        <v>136300</v>
      </c>
    </row>
    <row r="27" ht="18" customHeight="1">
      <c r="A27" s="19" t="s">
        <v>27</v>
      </c>
      <c r="B27" s="19" t="n">
        <v>285500</v>
      </c>
      <c r="D27" s="50" t="n">
        <v>40.03</v>
      </c>
      <c r="E27" s="51"/>
      <c r="F27" s="46" t="s">
        <f t="array" ref="F27">INDEX($D$1:$D$861,ROW()*2)</f>
        <v>28</v>
      </c>
      <c r="G27" s="46" t="n">
        <f t="array" ref="G27">INDEX($D$1:$D$861,ROW()*4-1)</f>
        <v>12.58</v>
      </c>
      <c r="H27" s="5" t="n">
        <f>G27*10000</f>
        <v>125800</v>
      </c>
    </row>
    <row r="28" ht="12.75" customHeight="1">
      <c r="A28" s="19" t="s">
        <v>28</v>
      </c>
      <c r="B28" s="19" t="n">
        <v>271600</v>
      </c>
      <c r="D28" s="47" t="s">
        <v>15</v>
      </c>
      <c r="E28" s="47"/>
      <c r="F28" s="46" t="s">
        <f t="array" ref="F28">INDEX($D$1:$D$861,ROW()*2)</f>
        <v>29</v>
      </c>
      <c r="G28" s="46" t="n">
        <f t="array" ref="G28">INDEX($D$1:$D$861,ROW()*4-1)</f>
        <v>10.85</v>
      </c>
      <c r="H28" s="5" t="n">
        <f>G28*10000</f>
        <v>108500</v>
      </c>
    </row>
    <row r="29" ht="18" customHeight="1">
      <c r="A29" s="19" t="s">
        <v>29</v>
      </c>
      <c r="B29" s="19" t="n">
        <v>261400</v>
      </c>
      <c r="D29" s="50" t="n">
        <v>38.46</v>
      </c>
      <c r="E29" s="51"/>
      <c r="F29" s="46" t="s">
        <f t="array" ref="F29">INDEX($D$1:$D$861,ROW()*2)</f>
        <v>30</v>
      </c>
      <c r="G29" s="46" t="n">
        <f t="array" ref="G29">INDEX($D$1:$D$861,ROW()*4-1)</f>
        <v>10.23</v>
      </c>
      <c r="H29" s="5" t="n">
        <f>G29*10000</f>
        <v>102300</v>
      </c>
    </row>
    <row r="30" ht="12.75" customHeight="1">
      <c r="A30" s="19" t="s">
        <v>30</v>
      </c>
      <c r="B30" s="19" t="n">
        <v>260600</v>
      </c>
      <c r="D30" s="47" t="s">
        <v>16</v>
      </c>
      <c r="E30" s="47"/>
      <c r="F30" s="46" t="s">
        <f t="array" ref="F30">INDEX($D$1:$D$861,ROW()*2)</f>
        <v>31</v>
      </c>
      <c r="G30" s="46" t="n">
        <f t="array" ref="G30">INDEX($D$1:$D$861,ROW()*4-1)</f>
        <v>9.71</v>
      </c>
      <c r="H30" s="5" t="n">
        <f>G30*10000</f>
        <v>97100</v>
      </c>
    </row>
    <row r="31" ht="18" customHeight="1">
      <c r="A31" s="19" t="s">
        <v>31</v>
      </c>
      <c r="B31" s="19" t="n">
        <v>248900</v>
      </c>
      <c r="D31" s="50" t="n">
        <v>38.16</v>
      </c>
      <c r="E31" s="51"/>
      <c r="F31" s="46" t="s">
        <f t="array" ref="F31">INDEX($D$1:$D$861,ROW()*2)</f>
        <v>32</v>
      </c>
      <c r="G31" s="46" t="n">
        <f t="array" ref="G31">INDEX($D$1:$D$861,ROW()*4-1)</f>
        <v>9.53</v>
      </c>
      <c r="H31" s="5" t="n">
        <f>G31*10000</f>
        <v>95300</v>
      </c>
    </row>
    <row r="32" ht="12.75" customHeight="1">
      <c r="A32" s="19" t="s">
        <v>32</v>
      </c>
      <c r="B32" s="19" t="n">
        <v>235400</v>
      </c>
      <c r="D32" s="47" t="s">
        <v>17</v>
      </c>
      <c r="E32" s="47"/>
      <c r="F32" s="46" t="s">
        <f t="array" ref="F32">INDEX($D$1:$D$861,ROW()*2)</f>
        <v>33</v>
      </c>
      <c r="G32" s="46" t="n">
        <f t="array" ref="G32">INDEX($D$1:$D$861,ROW()*4-1)</f>
        <v>9.4</v>
      </c>
      <c r="H32" s="5" t="n">
        <f>G32*10000</f>
        <v>94000</v>
      </c>
    </row>
    <row r="33" ht="18" customHeight="1">
      <c r="A33" s="19" t="s">
        <v>33</v>
      </c>
      <c r="B33" s="19" t="n">
        <v>234800</v>
      </c>
      <c r="D33" s="50" t="n">
        <v>37.71</v>
      </c>
      <c r="E33" s="51"/>
      <c r="F33" s="46" t="s">
        <f t="array" ref="F33">INDEX($D$1:$D$861,ROW()*2)</f>
        <v>34</v>
      </c>
      <c r="G33" s="46" t="n">
        <f t="array" ref="G33">INDEX($D$1:$D$861,ROW()*4-1)</f>
        <v>9.16</v>
      </c>
      <c r="H33" s="5" t="n">
        <f>G33*10000</f>
        <v>91600</v>
      </c>
    </row>
    <row r="34" ht="12.75" customHeight="1">
      <c r="A34" s="19" t="s">
        <v>34</v>
      </c>
      <c r="B34" s="19" t="n">
        <v>231600</v>
      </c>
      <c r="D34" s="47" t="s">
        <v>18</v>
      </c>
      <c r="E34" s="47"/>
      <c r="F34" s="46" t="s">
        <f t="array" ref="F34">INDEX($D$1:$D$861,ROW()*2)</f>
        <v>35</v>
      </c>
      <c r="G34" s="46" t="n">
        <f t="array" ref="G34">INDEX($D$1:$D$861,ROW()*4-1)</f>
        <v>8.91</v>
      </c>
      <c r="H34" s="5" t="n">
        <f>G34*10000</f>
        <v>89100</v>
      </c>
    </row>
    <row r="35" ht="18" customHeight="1">
      <c r="A35" s="19" t="s">
        <v>35</v>
      </c>
      <c r="B35" s="19" t="n">
        <v>217300</v>
      </c>
      <c r="D35" s="50" t="n">
        <v>35.81</v>
      </c>
      <c r="E35" s="51"/>
      <c r="F35" s="46" t="s">
        <f t="array" ref="F35">INDEX($D$1:$D$861,ROW()*2)</f>
        <v>36</v>
      </c>
      <c r="G35" s="46" t="n">
        <f t="array" ref="G35">INDEX($D$1:$D$861,ROW()*4-1)</f>
        <v>8.64</v>
      </c>
      <c r="H35" s="5" t="n">
        <f>G35*10000</f>
        <v>86400</v>
      </c>
    </row>
    <row r="36" ht="12.75" customHeight="1">
      <c r="A36" s="19" t="s">
        <v>36</v>
      </c>
      <c r="B36" s="19" t="n">
        <v>214500</v>
      </c>
      <c r="D36" s="47" t="s">
        <v>19</v>
      </c>
      <c r="E36" s="47"/>
      <c r="F36" s="46" t="s">
        <f t="array" ref="F36">INDEX($D$1:$D$861,ROW()*2)</f>
        <v>37</v>
      </c>
      <c r="G36" s="46" t="n">
        <f t="array" ref="G36">INDEX($D$1:$D$861,ROW()*4-1)</f>
        <v>8.42</v>
      </c>
      <c r="H36" s="5" t="n">
        <f>G36*10000</f>
        <v>84200</v>
      </c>
    </row>
    <row r="37" ht="18" customHeight="1">
      <c r="A37" s="19" t="s">
        <v>37</v>
      </c>
      <c r="B37" s="19" t="n">
        <v>207600</v>
      </c>
      <c r="D37" s="50" t="n">
        <v>35.22</v>
      </c>
      <c r="E37" s="51"/>
      <c r="F37" s="46" t="s">
        <f t="array" ref="F37">INDEX($D$1:$D$861,ROW()*2)</f>
        <v>38</v>
      </c>
      <c r="G37" s="46" t="n">
        <f t="array" ref="G37">INDEX($D$1:$D$861,ROW()*4-1)</f>
        <v>8.38</v>
      </c>
      <c r="H37" s="5" t="n">
        <f>G37*10000</f>
        <v>83800</v>
      </c>
    </row>
    <row r="38" ht="12.75" customHeight="1">
      <c r="A38" s="19" t="s">
        <v>38</v>
      </c>
      <c r="B38" s="19" t="n">
        <v>201300</v>
      </c>
      <c r="D38" s="47" t="s">
        <v>20</v>
      </c>
      <c r="E38" s="47"/>
      <c r="F38" s="46" t="s">
        <f t="array" ref="F38">INDEX($D$1:$D$861,ROW()*2)</f>
        <v>39</v>
      </c>
      <c r="G38" s="46" t="n">
        <f t="array" ref="G38">INDEX($D$1:$D$861,ROW()*4-1)</f>
        <v>7.77</v>
      </c>
      <c r="H38" s="5" t="n">
        <f>G38*10000</f>
        <v>77700</v>
      </c>
    </row>
    <row r="39" ht="18" customHeight="1">
      <c r="A39" s="19" t="s">
        <v>39</v>
      </c>
      <c r="B39" s="19" t="n">
        <v>199700</v>
      </c>
      <c r="D39" s="50" t="n">
        <v>33.99</v>
      </c>
      <c r="E39" s="51"/>
      <c r="F39" s="46" t="s">
        <f t="array" ref="F39">INDEX($D$1:$D$861,ROW()*2)</f>
        <v>40</v>
      </c>
      <c r="G39" s="46" t="n">
        <f t="array" ref="G39">INDEX($D$1:$D$861,ROW()*4-1)</f>
        <v>7.5</v>
      </c>
      <c r="H39" s="5" t="n">
        <f>G39*10000</f>
        <v>75000</v>
      </c>
    </row>
    <row r="40" ht="12.75" customHeight="1">
      <c r="A40" s="19" t="s">
        <v>40</v>
      </c>
      <c r="B40" s="19" t="n">
        <v>192100</v>
      </c>
      <c r="D40" s="47" t="s">
        <v>21</v>
      </c>
      <c r="E40" s="47"/>
      <c r="F40" s="46" t="s">
        <f t="array" ref="F40">INDEX($D$1:$D$861,ROW()*2)</f>
        <v>41</v>
      </c>
      <c r="G40" s="46" t="n">
        <f t="array" ref="G40">INDEX($D$1:$D$861,ROW()*4-1)</f>
        <v>7</v>
      </c>
      <c r="H40" s="5" t="n">
        <f>G40*10000</f>
        <v>70000</v>
      </c>
    </row>
    <row r="41" ht="18" customHeight="1">
      <c r="A41" s="19" t="s">
        <v>41</v>
      </c>
      <c r="B41" s="19" t="n">
        <v>191500</v>
      </c>
      <c r="D41" s="50" t="n">
        <v>33.88</v>
      </c>
      <c r="E41" s="51"/>
      <c r="F41" s="46" t="s">
        <f t="array" ref="F41">INDEX($D$1:$D$861,ROW()*2)</f>
        <v>42</v>
      </c>
      <c r="G41" s="46" t="n">
        <f t="array" ref="G41">INDEX($D$1:$D$861,ROW()*4-1)</f>
        <v>6.95</v>
      </c>
      <c r="H41" s="5" t="n">
        <f>G41*10000</f>
        <v>69500</v>
      </c>
    </row>
    <row r="42" ht="12.75" customHeight="1">
      <c r="A42" s="19" t="s">
        <v>42</v>
      </c>
      <c r="B42" s="19" t="n">
        <v>174600</v>
      </c>
      <c r="D42" s="47" t="s">
        <v>22</v>
      </c>
      <c r="E42" s="47"/>
      <c r="F42" s="46" t="s">
        <f t="array" ref="F42">INDEX($D$1:$D$861,ROW()*2)</f>
        <v>43</v>
      </c>
      <c r="G42" s="46" t="n">
        <f t="array" ref="G42">INDEX($D$1:$D$861,ROW()*4-1)</f>
        <v>6.84</v>
      </c>
      <c r="H42" s="5" t="n">
        <f>G42*10000</f>
        <v>68400</v>
      </c>
    </row>
    <row r="43" ht="18" customHeight="1">
      <c r="A43" s="19" t="s">
        <v>43</v>
      </c>
      <c r="B43" s="19" t="n">
        <v>171900</v>
      </c>
      <c r="D43" s="50" t="n">
        <v>30.42</v>
      </c>
      <c r="E43" s="51"/>
      <c r="F43" s="46" t="s">
        <f t="array" ref="F43">INDEX($D$1:$D$861,ROW()*2)</f>
        <v>44</v>
      </c>
      <c r="G43" s="46" t="n">
        <f t="array" ref="G43">INDEX($D$1:$D$861,ROW()*4-1)</f>
        <v>6.59</v>
      </c>
      <c r="H43" s="5" t="n">
        <f>G43*10000</f>
        <v>65900</v>
      </c>
    </row>
    <row r="44" ht="12.75" customHeight="1">
      <c r="A44" s="19" t="s">
        <v>44</v>
      </c>
      <c r="B44" s="19" t="n">
        <v>165500</v>
      </c>
      <c r="D44" s="47" t="s">
        <v>23</v>
      </c>
      <c r="E44" s="47"/>
      <c r="F44" s="46" t="s">
        <f t="array" ref="F44">INDEX($D$1:$D$861,ROW()*2)</f>
        <v>45</v>
      </c>
      <c r="G44" s="46" t="n">
        <f t="array" ref="G44">INDEX($D$1:$D$861,ROW()*4-1)</f>
        <v>6.45</v>
      </c>
      <c r="H44" s="5" t="n">
        <f>G44*10000</f>
        <v>64500</v>
      </c>
    </row>
    <row r="45" ht="18" customHeight="1">
      <c r="A45" s="19" t="s">
        <v>45</v>
      </c>
      <c r="B45" s="19" t="n">
        <v>164100</v>
      </c>
      <c r="D45" s="50" t="n">
        <v>29.66</v>
      </c>
      <c r="E45" s="51"/>
      <c r="F45" s="46" t="s">
        <f t="array" ref="F45">INDEX($D$1:$D$861,ROW()*2)</f>
        <v>46</v>
      </c>
      <c r="G45" s="46" t="n">
        <f t="array" ref="G45">INDEX($D$1:$D$861,ROW()*4-1)</f>
        <v>6.43</v>
      </c>
      <c r="H45" s="5" t="n">
        <f>G45*10000</f>
        <v>64300</v>
      </c>
    </row>
    <row r="46" ht="12.75" customHeight="1">
      <c r="A46" s="19" t="s">
        <v>46</v>
      </c>
      <c r="B46" s="19" t="n">
        <v>163600</v>
      </c>
      <c r="D46" s="47" t="s">
        <v>24</v>
      </c>
      <c r="E46" s="47"/>
      <c r="F46" s="46" t="s">
        <f t="array" ref="F46">INDEX($D$1:$D$861,ROW()*2)</f>
        <v>47</v>
      </c>
      <c r="G46" s="46" t="n">
        <f t="array" ref="G46">INDEX($D$1:$D$861,ROW()*4-1)</f>
        <v>6.27</v>
      </c>
      <c r="H46" s="5" t="n">
        <f>G46*10000</f>
        <v>62700</v>
      </c>
    </row>
    <row r="47" ht="18" customHeight="1">
      <c r="A47" s="19" t="s">
        <v>47</v>
      </c>
      <c r="B47" s="19" t="n">
        <v>152300</v>
      </c>
      <c r="D47" s="50" t="n">
        <v>29.61</v>
      </c>
      <c r="E47" s="51"/>
      <c r="F47" s="46" t="s">
        <f t="array" ref="F47">INDEX($D$1:$D$861,ROW()*2)</f>
        <v>48</v>
      </c>
      <c r="G47" s="46" t="n">
        <f t="array" ref="G47">INDEX($D$1:$D$861,ROW()*4-1)</f>
        <v>6</v>
      </c>
      <c r="H47" s="5" t="n">
        <f>G47*10000</f>
        <v>60000</v>
      </c>
    </row>
    <row r="48" ht="12.75" customHeight="1">
      <c r="A48" s="19" t="s">
        <v>48</v>
      </c>
      <c r="B48" s="19" t="n">
        <v>150300</v>
      </c>
      <c r="D48" s="47" t="s">
        <v>25</v>
      </c>
      <c r="E48" s="47"/>
      <c r="F48" s="46" t="n">
        <f t="array" ref="F48">INDEX($D$1:$D$861,ROW()*2)</f>
        <v>2024</v>
      </c>
      <c r="G48" s="46" t="n">
        <f t="array" ref="G48">INDEX($D$1:$D$861,ROW()*4-1)</f>
        <v>5.66</v>
      </c>
      <c r="H48" s="5" t="n">
        <f>G48*10000</f>
        <v>56600</v>
      </c>
    </row>
    <row r="49" ht="18" customHeight="1">
      <c r="A49" s="19" t="n">
        <v>2024</v>
      </c>
      <c r="B49" s="19" t="n">
        <v>149800</v>
      </c>
      <c r="D49" s="50" t="n">
        <v>29.57</v>
      </c>
      <c r="E49" s="51"/>
      <c r="F49" s="46" t="s">
        <f t="array" ref="F49">INDEX($D$1:$D$861,ROW()*2)</f>
        <v>49</v>
      </c>
      <c r="G49" s="46" t="n">
        <f t="array" ref="G49">INDEX($D$1:$D$861,ROW()*4-1)</f>
        <v>5.55</v>
      </c>
      <c r="H49" s="5" t="n">
        <f>G49*10000</f>
        <v>55500</v>
      </c>
    </row>
    <row r="50" ht="12.75" customHeight="1">
      <c r="A50" s="19" t="s">
        <v>49</v>
      </c>
      <c r="B50" s="19" t="n">
        <v>147000</v>
      </c>
      <c r="D50" s="47" t="s">
        <v>26</v>
      </c>
      <c r="E50" s="47"/>
      <c r="F50" s="46" t="s">
        <f t="array" ref="F50">INDEX($D$1:$D$861,ROW()*2)</f>
        <v>50</v>
      </c>
      <c r="G50" s="46" t="n">
        <f t="array" ref="G50">INDEX($D$1:$D$861,ROW()*4-1)</f>
        <v>5.31</v>
      </c>
      <c r="H50" s="5" t="n">
        <f>G50*10000</f>
        <v>53100</v>
      </c>
    </row>
    <row r="51" ht="18" customHeight="1">
      <c r="A51" s="19" t="s">
        <v>50</v>
      </c>
      <c r="B51" s="19" t="n">
        <v>145900</v>
      </c>
      <c r="D51" s="50" t="n">
        <v>29.35</v>
      </c>
      <c r="E51" s="51"/>
      <c r="F51" s="46" t="s">
        <f t="array" ref="F51">INDEX($D$1:$D$861,ROW()*2)</f>
        <v>51</v>
      </c>
      <c r="G51" s="46" t="n">
        <f t="array" ref="G51">INDEX($D$1:$D$861,ROW()*4-1)</f>
        <v>5.18</v>
      </c>
      <c r="H51" s="5" t="n">
        <f>G51*10000</f>
        <v>51800</v>
      </c>
    </row>
    <row r="52" ht="12.75" customHeight="1">
      <c r="A52" s="19" t="s">
        <v>51</v>
      </c>
      <c r="B52" s="19" t="n">
        <v>136300</v>
      </c>
      <c r="D52" s="47" t="s">
        <v>27</v>
      </c>
      <c r="E52" s="47"/>
      <c r="F52" s="46" t="s">
        <f t="array" ref="F52">INDEX($D$1:$D$861,ROW()*2)</f>
        <v>52</v>
      </c>
      <c r="G52" s="46" t="n">
        <f t="array" ref="G52">INDEX($D$1:$D$861,ROW()*4-1)</f>
        <v>5.13</v>
      </c>
      <c r="H52" s="5" t="n">
        <f>G52*10000</f>
        <v>51300</v>
      </c>
    </row>
    <row r="53" ht="18" customHeight="1">
      <c r="A53" s="19" t="s">
        <v>52</v>
      </c>
      <c r="B53" s="19" t="n">
        <v>129100</v>
      </c>
      <c r="D53" s="50" t="n">
        <v>28.55</v>
      </c>
      <c r="E53" s="51"/>
      <c r="F53" s="46" t="s">
        <f t="array" ref="F53">INDEX($D$1:$D$861,ROW()*2)</f>
        <v>53</v>
      </c>
      <c r="G53" s="46" t="n">
        <f t="array" ref="G53">INDEX($D$1:$D$861,ROW()*4-1)</f>
        <v>4.85</v>
      </c>
      <c r="H53" s="5" t="n">
        <f>G53*10000</f>
        <v>48500</v>
      </c>
    </row>
    <row r="54" ht="12.75" customHeight="1">
      <c r="A54" s="19" t="s">
        <v>53</v>
      </c>
      <c r="B54" s="19" t="n">
        <v>125800</v>
      </c>
      <c r="D54" s="47" t="s">
        <v>28</v>
      </c>
      <c r="E54" s="47"/>
      <c r="F54" s="46" t="s">
        <f t="array" ref="F54">INDEX($D$1:$D$861,ROW()*2)</f>
        <v>54</v>
      </c>
      <c r="G54" s="46" t="n">
        <f t="array" ref="G54">INDEX($D$1:$D$861,ROW()*4-1)</f>
        <v>4.78</v>
      </c>
      <c r="H54" s="5" t="n">
        <f>G54*10000</f>
        <v>47800</v>
      </c>
    </row>
    <row r="55" ht="18" customHeight="1">
      <c r="A55" s="19" t="s">
        <v>54</v>
      </c>
      <c r="B55" s="19" t="n">
        <v>118400</v>
      </c>
      <c r="D55" s="50" t="n">
        <v>27.16</v>
      </c>
      <c r="E55" s="51"/>
      <c r="F55" s="46" t="s">
        <f t="array" ref="F55">INDEX($D$1:$D$861,ROW()*2)</f>
        <v>55</v>
      </c>
      <c r="G55" s="46" t="n">
        <f t="array" ref="G55">INDEX($D$1:$D$861,ROW()*4-1)</f>
        <v>4.74</v>
      </c>
      <c r="H55" s="5" t="n">
        <f>G55*10000</f>
        <v>47400</v>
      </c>
    </row>
    <row r="56" ht="12.75" customHeight="1">
      <c r="A56" s="19" t="s">
        <v>55</v>
      </c>
      <c r="B56" s="19" t="n">
        <v>108500</v>
      </c>
      <c r="D56" s="47" t="s">
        <v>29</v>
      </c>
      <c r="E56" s="47"/>
      <c r="F56" s="46" t="s">
        <f t="array" ref="F56">INDEX($D$1:$D$861,ROW()*2)</f>
        <v>56</v>
      </c>
      <c r="G56" s="46" t="n">
        <f t="array" ref="G56">INDEX($D$1:$D$861,ROW()*4-1)</f>
        <v>4.57</v>
      </c>
      <c r="H56" s="5" t="n">
        <f>G56*10000</f>
        <v>45700</v>
      </c>
    </row>
    <row r="57" ht="18" customHeight="1">
      <c r="A57" s="19" t="s">
        <v>56</v>
      </c>
      <c r="B57" s="19" t="n">
        <v>106200</v>
      </c>
      <c r="D57" s="50" t="n">
        <v>26.14</v>
      </c>
      <c r="E57" s="51"/>
      <c r="F57" s="46" t="s">
        <f t="array" ref="F57">INDEX($D$1:$D$861,ROW()*2)</f>
        <v>57</v>
      </c>
      <c r="G57" s="46" t="n">
        <f t="array" ref="G57">INDEX($D$1:$D$861,ROW()*4-1)</f>
        <v>4.46</v>
      </c>
      <c r="H57" s="5" t="n">
        <f>G57*10000</f>
        <v>44600</v>
      </c>
    </row>
    <row r="58" ht="12.75" customHeight="1">
      <c r="A58" s="19" t="s">
        <v>57</v>
      </c>
      <c r="B58" s="19" t="n">
        <v>102300</v>
      </c>
      <c r="D58" s="47" t="s">
        <v>30</v>
      </c>
      <c r="E58" s="47"/>
      <c r="F58" s="46" t="s">
        <f t="array" ref="F58">INDEX($D$1:$D$861,ROW()*2)</f>
        <v>58</v>
      </c>
      <c r="G58" s="46" t="n">
        <f t="array" ref="G58">INDEX($D$1:$D$861,ROW()*4-1)</f>
        <v>4.08</v>
      </c>
      <c r="H58" s="5" t="n">
        <f>G58*10000</f>
        <v>40800</v>
      </c>
    </row>
    <row r="59" ht="18" customHeight="1">
      <c r="A59" s="19" t="s">
        <v>58</v>
      </c>
      <c r="B59" s="19" t="n">
        <v>98400</v>
      </c>
      <c r="D59" s="50" t="n">
        <v>26.06</v>
      </c>
      <c r="E59" s="51"/>
      <c r="F59" s="46" t="s">
        <f t="array" ref="F59">INDEX($D$1:$D$861,ROW()*2)</f>
        <v>59</v>
      </c>
      <c r="G59" s="46" t="n">
        <f t="array" ref="G59">INDEX($D$1:$D$861,ROW()*4-1)</f>
        <v>3.83</v>
      </c>
      <c r="H59" s="5" t="n">
        <f>G59*10000</f>
        <v>38300</v>
      </c>
    </row>
    <row r="60" ht="12.75" customHeight="1">
      <c r="A60" s="19" t="s">
        <v>59</v>
      </c>
      <c r="B60" s="19" t="n">
        <v>97100</v>
      </c>
      <c r="D60" s="47" t="s">
        <v>31</v>
      </c>
      <c r="E60" s="47"/>
      <c r="F60" s="46" t="s">
        <f t="array" ref="F60">INDEX($D$1:$D$861,ROW()*2)</f>
        <v>60</v>
      </c>
      <c r="G60" s="46" t="n">
        <f t="array" ref="G60">INDEX($D$1:$D$861,ROW()*4-1)</f>
        <v>3.52</v>
      </c>
      <c r="H60" s="5" t="n">
        <f>G60*10000</f>
        <v>35200</v>
      </c>
    </row>
    <row r="61" ht="18" customHeight="1">
      <c r="A61" s="19" t="s">
        <v>60</v>
      </c>
      <c r="B61" s="19" t="n">
        <v>96700</v>
      </c>
      <c r="D61" s="50" t="n">
        <v>24.89</v>
      </c>
      <c r="E61" s="51"/>
      <c r="F61" s="46" t="s">
        <f t="array" ref="F61">INDEX($D$1:$D$861,ROW()*2)</f>
        <v>61</v>
      </c>
      <c r="G61" s="46" t="n">
        <f t="array" ref="G61">INDEX($D$1:$D$861,ROW()*4-1)</f>
        <v>3.41</v>
      </c>
      <c r="H61" s="5" t="n">
        <f>G61*10000</f>
        <v>34100</v>
      </c>
    </row>
    <row r="62" ht="12.75" customHeight="1">
      <c r="A62" s="19" t="s">
        <v>61</v>
      </c>
      <c r="B62" s="19" t="n">
        <v>95300</v>
      </c>
      <c r="D62" s="47" t="s">
        <v>32</v>
      </c>
      <c r="E62" s="47"/>
      <c r="F62" s="46" t="s">
        <f t="array" ref="F62">INDEX($D$1:$D$861,ROW()*2)</f>
        <v>62</v>
      </c>
      <c r="G62" s="46" t="n">
        <f t="array" ref="G62">INDEX($D$1:$D$861,ROW()*4-1)</f>
        <v>3.32</v>
      </c>
      <c r="H62" s="5" t="n">
        <f>G62*10000</f>
        <v>33200</v>
      </c>
    </row>
    <row r="63" ht="18" customHeight="1">
      <c r="A63" s="19" t="s">
        <v>62</v>
      </c>
      <c r="B63" s="19" t="n">
        <v>95200</v>
      </c>
      <c r="D63" s="50" t="n">
        <v>23.54</v>
      </c>
      <c r="E63" s="51"/>
      <c r="F63" s="46" t="s">
        <f t="array" ref="F63">INDEX($D$1:$D$861,ROW()*2)</f>
        <v>63</v>
      </c>
      <c r="G63" s="46" t="n">
        <f t="array" ref="G63">INDEX($D$1:$D$861,ROW()*4-1)</f>
        <v>3.16</v>
      </c>
      <c r="H63" s="5" t="n">
        <f>G63*10000</f>
        <v>31600</v>
      </c>
    </row>
    <row r="64" ht="12.75" customHeight="1">
      <c r="A64" s="19" t="s">
        <v>63</v>
      </c>
      <c r="B64" s="19" t="n">
        <v>94000</v>
      </c>
      <c r="D64" s="47" t="s">
        <v>33</v>
      </c>
      <c r="E64" s="47"/>
      <c r="F64" s="46" t="s">
        <f t="array" ref="F64">INDEX($D$1:$D$861,ROW()*2)</f>
        <v>64</v>
      </c>
      <c r="G64" s="46" t="n">
        <f t="array" ref="G64">INDEX($D$1:$D$861,ROW()*4-1)</f>
        <v>2.9</v>
      </c>
      <c r="H64" s="5" t="n">
        <f>G64*10000</f>
        <v>29000</v>
      </c>
    </row>
    <row r="65" ht="18" customHeight="1">
      <c r="A65" s="19" t="s">
        <v>64</v>
      </c>
      <c r="B65" s="19" t="n">
        <v>93000</v>
      </c>
      <c r="D65" s="50" t="n">
        <v>23.48</v>
      </c>
      <c r="E65" s="51"/>
      <c r="F65" s="46" t="s">
        <f t="array" ref="F65">INDEX($D$1:$D$861,ROW()*2)</f>
        <v>65</v>
      </c>
      <c r="G65" s="46" t="n">
        <f t="array" ref="G65">INDEX($D$1:$D$861,ROW()*4-1)</f>
        <v>2.83</v>
      </c>
      <c r="H65" s="5" t="n">
        <f>G65*10000</f>
        <v>28300</v>
      </c>
    </row>
    <row r="66" ht="12.75" customHeight="1">
      <c r="A66" s="19" t="s">
        <v>65</v>
      </c>
      <c r="B66" s="19" t="n">
        <v>91600</v>
      </c>
      <c r="D66" s="47" t="s">
        <v>34</v>
      </c>
      <c r="E66" s="47"/>
      <c r="F66" s="46" t="s">
        <f t="array" ref="F66">INDEX($D$1:$D$861,ROW()*2)</f>
        <v>66</v>
      </c>
      <c r="G66" s="46" t="n">
        <f t="array" ref="G66">INDEX($D$1:$D$861,ROW()*4-1)</f>
        <v>2.79</v>
      </c>
      <c r="H66" s="5" t="n">
        <f>G66*10000</f>
        <v>27900</v>
      </c>
    </row>
    <row r="67" ht="18" customHeight="1">
      <c r="A67" s="19" t="s">
        <v>66</v>
      </c>
      <c r="B67" s="19" t="n">
        <v>89100</v>
      </c>
      <c r="D67" s="50" t="n">
        <v>23.16</v>
      </c>
      <c r="E67" s="51"/>
      <c r="F67" s="46" t="s">
        <f t="array" ref="F67">INDEX($D$1:$D$861,ROW()*2)</f>
        <v>67</v>
      </c>
      <c r="G67" s="46" t="n">
        <f t="array" ref="G67">INDEX($D$1:$D$861,ROW()*4-1)</f>
        <v>2.69</v>
      </c>
      <c r="H67" s="5" t="n">
        <f>G67*10000</f>
        <v>26900</v>
      </c>
    </row>
    <row r="68" ht="12.75" customHeight="1">
      <c r="A68" s="19" t="s">
        <v>67</v>
      </c>
      <c r="B68" s="19" t="n">
        <v>89100</v>
      </c>
      <c r="D68" s="47" t="s">
        <v>35</v>
      </c>
      <c r="E68" s="47"/>
      <c r="F68" s="46" t="s">
        <f t="array" ref="F68">INDEX($D$1:$D$861,ROW()*2)</f>
        <v>68</v>
      </c>
      <c r="G68" s="46" t="n">
        <f t="array" ref="G68">INDEX($D$1:$D$861,ROW()*4-1)</f>
        <v>2.55</v>
      </c>
      <c r="H68" s="5" t="n">
        <f>G68*10000</f>
        <v>25500</v>
      </c>
    </row>
    <row r="69" ht="18" customHeight="1">
      <c r="A69" s="19" t="s">
        <v>68</v>
      </c>
      <c r="B69" s="19" t="n">
        <v>88600</v>
      </c>
      <c r="D69" s="50" t="n">
        <v>21.73</v>
      </c>
      <c r="E69" s="51"/>
      <c r="F69" s="46" t="s">
        <f t="array" ref="F69">INDEX($D$1:$D$861,ROW()*2)</f>
        <v>69</v>
      </c>
      <c r="G69" s="46" t="n">
        <f t="array" ref="G69">INDEX($D$1:$D$861,ROW()*4-1)</f>
        <v>2.5</v>
      </c>
      <c r="H69" s="5" t="n">
        <f>G69*10000</f>
        <v>25000</v>
      </c>
    </row>
    <row r="70" ht="12.75" customHeight="1">
      <c r="A70" s="19" t="s">
        <v>69</v>
      </c>
      <c r="B70" s="19" t="n">
        <v>86400</v>
      </c>
      <c r="D70" s="47" t="s">
        <v>36</v>
      </c>
      <c r="E70" s="47"/>
      <c r="F70" s="46" t="s">
        <f t="array" ref="F70">INDEX($D$1:$D$861,ROW()*2)</f>
        <v>70</v>
      </c>
      <c r="G70" s="46" t="n">
        <f t="array" ref="G70">INDEX($D$1:$D$861,ROW()*4-1)</f>
        <v>2.49</v>
      </c>
      <c r="H70" s="5" t="n">
        <f>G70*10000</f>
        <v>24900</v>
      </c>
    </row>
    <row r="71" ht="18" customHeight="1">
      <c r="A71" s="19" t="s">
        <v>70</v>
      </c>
      <c r="B71" s="19" t="n">
        <v>86100</v>
      </c>
      <c r="D71" s="50" t="n">
        <v>21.45</v>
      </c>
      <c r="E71" s="51"/>
      <c r="F71" s="46" t="s">
        <f t="array" ref="F71">INDEX($D$1:$D$861,ROW()*2)</f>
        <v>71</v>
      </c>
      <c r="G71" s="46" t="n">
        <f t="array" ref="G71">INDEX($D$1:$D$861,ROW()*4-1)</f>
        <v>2.34</v>
      </c>
      <c r="H71" s="5" t="n">
        <f>G71*10000</f>
        <v>23400</v>
      </c>
    </row>
    <row r="72" ht="12.75" customHeight="1">
      <c r="A72" s="19" t="s">
        <v>71</v>
      </c>
      <c r="B72" s="19" t="n">
        <v>84200</v>
      </c>
      <c r="D72" s="47" t="s">
        <v>37</v>
      </c>
      <c r="E72" s="47"/>
      <c r="F72" s="46" t="s">
        <f t="array" ref="F72">INDEX($D$1:$D$861,ROW()*2)</f>
        <v>72</v>
      </c>
      <c r="G72" s="46" t="n">
        <f t="array" ref="G72">INDEX($D$1:$D$861,ROW()*4-1)</f>
        <v>2.21</v>
      </c>
      <c r="H72" s="5" t="n">
        <f>G72*10000</f>
        <v>22100</v>
      </c>
    </row>
    <row r="73" ht="18" customHeight="1">
      <c r="A73" s="19" t="s">
        <v>72</v>
      </c>
      <c r="B73" s="19" t="n">
        <v>84000</v>
      </c>
      <c r="D73" s="50" t="n">
        <v>20.76</v>
      </c>
      <c r="E73" s="51"/>
      <c r="F73" s="46" t="s">
        <f t="array" ref="F73">INDEX($D$1:$D$861,ROW()*2)</f>
        <v>73</v>
      </c>
      <c r="G73" s="46" t="n">
        <f t="array" ref="G73">INDEX($D$1:$D$861,ROW()*4-1)</f>
        <v>2.2</v>
      </c>
      <c r="H73" s="5" t="n">
        <f>G73*10000</f>
        <v>22000</v>
      </c>
    </row>
    <row r="74" ht="12.75" customHeight="1">
      <c r="A74" s="19" t="s">
        <v>73</v>
      </c>
      <c r="B74" s="19" t="n">
        <v>83800</v>
      </c>
      <c r="D74" s="47" t="s">
        <v>38</v>
      </c>
      <c r="E74" s="47"/>
      <c r="F74" s="46" t="s">
        <f t="array" ref="F74">INDEX($D$1:$D$861,ROW()*2)</f>
        <v>74</v>
      </c>
      <c r="G74" s="46" t="n">
        <f t="array" ref="G74">INDEX($D$1:$D$861,ROW()*4-1)</f>
        <v>2.18</v>
      </c>
      <c r="H74" s="5" t="n">
        <f>G74*10000</f>
        <v>21800</v>
      </c>
    </row>
    <row r="75" ht="18" customHeight="1">
      <c r="A75" s="19" t="s">
        <v>74</v>
      </c>
      <c r="B75" s="19" t="n">
        <v>80600</v>
      </c>
      <c r="D75" s="50" t="n">
        <v>20.13</v>
      </c>
      <c r="E75" s="51"/>
      <c r="F75" s="46" t="s">
        <f t="array" ref="F75">INDEX($D$1:$D$861,ROW()*2)</f>
        <v>75</v>
      </c>
      <c r="G75" s="46" t="n">
        <f t="array" ref="G75">INDEX($D$1:$D$861,ROW()*4-1)</f>
        <v>2.14</v>
      </c>
      <c r="H75" s="5" t="n">
        <f>G75*10000</f>
        <v>21400</v>
      </c>
    </row>
    <row r="76" ht="12.75" customHeight="1">
      <c r="A76" s="19" t="s">
        <v>75</v>
      </c>
      <c r="B76" s="19" t="n">
        <v>77700</v>
      </c>
      <c r="D76" s="47" t="s">
        <v>39</v>
      </c>
      <c r="E76" s="47"/>
      <c r="F76" s="46" t="s">
        <f t="array" ref="F76">INDEX($D$1:$D$861,ROW()*2)</f>
        <v>76</v>
      </c>
      <c r="G76" s="46" t="n">
        <f t="array" ref="G76">INDEX($D$1:$D$861,ROW()*4-1)</f>
        <v>2.11</v>
      </c>
      <c r="H76" s="5" t="n">
        <f>G76*10000</f>
        <v>21100</v>
      </c>
    </row>
    <row r="77" ht="18" customHeight="1">
      <c r="A77" s="19" t="s">
        <v>76</v>
      </c>
      <c r="B77" s="19" t="n">
        <v>76900</v>
      </c>
      <c r="D77" s="50" t="n">
        <v>19.97</v>
      </c>
      <c r="E77" s="51"/>
      <c r="F77" s="46" t="s">
        <f t="array" ref="F77">INDEX($D$1:$D$861,ROW()*2)</f>
        <v>77</v>
      </c>
      <c r="G77" s="46" t="n">
        <f t="array" ref="G77">INDEX($D$1:$D$861,ROW()*4-1)</f>
        <v>2.04</v>
      </c>
      <c r="H77" s="5" t="n">
        <f>G77*10000</f>
        <v>20400</v>
      </c>
    </row>
    <row r="78" ht="12.75" customHeight="1">
      <c r="A78" s="19" t="s">
        <v>77</v>
      </c>
      <c r="B78" s="19" t="n">
        <v>75000</v>
      </c>
      <c r="D78" s="47" t="s">
        <v>40</v>
      </c>
      <c r="E78" s="47"/>
      <c r="F78" s="46" t="s">
        <f t="array" ref="F78">INDEX($D$1:$D$861,ROW()*2)</f>
        <v>78</v>
      </c>
      <c r="G78" s="46" t="n">
        <f t="array" ref="G78">INDEX($D$1:$D$861,ROW()*4-1)</f>
        <v>2.02</v>
      </c>
      <c r="H78" s="5" t="n">
        <f>G78*10000</f>
        <v>20200</v>
      </c>
    </row>
    <row r="79" ht="18" customHeight="1">
      <c r="A79" s="19" t="s">
        <v>78</v>
      </c>
      <c r="B79" s="19" t="n">
        <v>73500</v>
      </c>
      <c r="D79" s="50" t="n">
        <v>19.21</v>
      </c>
      <c r="E79" s="51"/>
      <c r="F79" s="46" t="s">
        <f t="array" ref="F79">INDEX($D$1:$D$861,ROW()*2)</f>
        <v>79</v>
      </c>
      <c r="G79" s="46" t="n">
        <f t="array" ref="G79">INDEX($D$1:$D$861,ROW()*4-1)</f>
        <v>2.01</v>
      </c>
      <c r="H79" s="5" t="n">
        <f>G79*10000</f>
        <v>20100</v>
      </c>
    </row>
    <row r="80" ht="12.75" customHeight="1">
      <c r="A80" s="19" t="s">
        <v>79</v>
      </c>
      <c r="B80" s="19" t="n">
        <v>70000</v>
      </c>
      <c r="D80" s="47" t="s">
        <v>41</v>
      </c>
      <c r="E80" s="47"/>
      <c r="F80" s="46" t="s">
        <f t="array" ref="F80">INDEX($D$1:$D$861,ROW()*2)</f>
        <v>80</v>
      </c>
      <c r="G80" s="46" t="n">
        <f t="array" ref="G80">INDEX($D$1:$D$861,ROW()*4-1)</f>
        <v>1.89</v>
      </c>
      <c r="H80" s="5" t="n">
        <f>G80*10000</f>
        <v>18900</v>
      </c>
    </row>
    <row r="81" ht="18" customHeight="1">
      <c r="A81" s="19" t="s">
        <v>80</v>
      </c>
      <c r="B81" s="19" t="n">
        <v>70000</v>
      </c>
      <c r="D81" s="50" t="n">
        <v>19.15</v>
      </c>
      <c r="E81" s="51"/>
      <c r="F81" s="46" t="s">
        <f t="array" ref="F81">INDEX($D$1:$D$861,ROW()*2)</f>
        <v>81</v>
      </c>
      <c r="G81" s="46" t="n">
        <f t="array" ref="G81">INDEX($D$1:$D$861,ROW()*4-1)</f>
        <v>1.83</v>
      </c>
      <c r="H81" s="5" t="n">
        <f>G81*10000</f>
        <v>18300</v>
      </c>
    </row>
    <row r="82" ht="12.75" customHeight="1">
      <c r="A82" s="19" t="s">
        <v>81</v>
      </c>
      <c r="B82" s="19" t="n">
        <v>69500</v>
      </c>
      <c r="D82" s="47" t="s">
        <v>42</v>
      </c>
      <c r="E82" s="47"/>
      <c r="F82" s="46" t="s">
        <f t="array" ref="F82">INDEX($D$1:$D$861,ROW()*2)</f>
        <v>82</v>
      </c>
      <c r="G82" s="46" t="n">
        <f t="array" ref="G82">INDEX($D$1:$D$861,ROW()*4-1)</f>
        <v>1.79</v>
      </c>
      <c r="H82" s="5" t="n">
        <f>G82*10000</f>
        <v>17900</v>
      </c>
    </row>
    <row r="83" ht="18" customHeight="1">
      <c r="A83" s="19" t="s">
        <v>82</v>
      </c>
      <c r="B83" s="19" t="n">
        <v>69400</v>
      </c>
      <c r="D83" s="50" t="n">
        <v>17.46</v>
      </c>
      <c r="E83" s="51"/>
      <c r="F83" s="46" t="s">
        <f t="array" ref="F83">INDEX($D$1:$D$861,ROW()*2)</f>
        <v>83</v>
      </c>
      <c r="G83" s="46" t="n">
        <f t="array" ref="G83">INDEX($D$1:$D$861,ROW()*4-1)</f>
        <v>1.77</v>
      </c>
      <c r="H83" s="5" t="n">
        <f>G83*10000</f>
        <v>17700</v>
      </c>
    </row>
    <row r="84" ht="12.75" customHeight="1">
      <c r="A84" s="19" t="s">
        <v>83</v>
      </c>
      <c r="B84" s="19" t="n">
        <v>68400</v>
      </c>
      <c r="D84" s="47" t="s">
        <v>43</v>
      </c>
      <c r="E84" s="47"/>
      <c r="F84" s="46" t="s">
        <f t="array" ref="F84">INDEX($D$1:$D$861,ROW()*2)</f>
        <v>84</v>
      </c>
      <c r="G84" s="46" t="n">
        <f t="array" ref="G84">INDEX($D$1:$D$861,ROW()*4-1)</f>
        <v>1.71</v>
      </c>
      <c r="H84" s="5" t="n">
        <f>G84*10000</f>
        <v>17100</v>
      </c>
    </row>
    <row r="85" ht="18" customHeight="1">
      <c r="A85" s="19" t="s">
        <v>84</v>
      </c>
      <c r="B85" s="19" t="n">
        <v>67000</v>
      </c>
      <c r="D85" s="50" t="n">
        <v>17.19</v>
      </c>
      <c r="E85" s="51"/>
      <c r="F85" s="46" t="s">
        <f t="array" ref="F85">INDEX($D$1:$D$861,ROW()*2)</f>
        <v>85</v>
      </c>
      <c r="G85" s="46" t="n">
        <f t="array" ref="G85">INDEX($D$1:$D$861,ROW()*4-1)</f>
        <v>1.7</v>
      </c>
      <c r="H85" s="5" t="n">
        <f>G85*10000</f>
        <v>17000</v>
      </c>
    </row>
    <row r="86" ht="12.75" customHeight="1">
      <c r="A86" s="19" t="s">
        <v>85</v>
      </c>
      <c r="B86" s="19" t="n">
        <v>65900</v>
      </c>
      <c r="D86" s="47" t="s">
        <v>44</v>
      </c>
      <c r="E86" s="47"/>
      <c r="F86" s="46" t="s">
        <f t="array" ref="F86">INDEX($D$1:$D$861,ROW()*2)</f>
        <v>86</v>
      </c>
      <c r="G86" s="46" t="n">
        <f t="array" ref="G86">INDEX($D$1:$D$861,ROW()*4-1)</f>
        <v>1.66</v>
      </c>
      <c r="H86" s="5" t="n">
        <f>G86*10000</f>
        <v>16600</v>
      </c>
    </row>
    <row r="87" ht="18" customHeight="1">
      <c r="A87" s="19" t="s">
        <v>86</v>
      </c>
      <c r="B87" s="19" t="n">
        <v>64900</v>
      </c>
      <c r="D87" s="50" t="n">
        <v>16.55</v>
      </c>
      <c r="E87" s="51"/>
      <c r="F87" s="46" t="s">
        <f t="array" ref="F87">INDEX($D$1:$D$861,ROW()*2)</f>
        <v>87</v>
      </c>
      <c r="G87" s="46" t="n">
        <f t="array" ref="G87">INDEX($D$1:$D$861,ROW()*4-1)</f>
        <v>1.66</v>
      </c>
      <c r="H87" s="5" t="n">
        <f>G87*10000</f>
        <v>16600</v>
      </c>
    </row>
    <row r="88" ht="12.75" customHeight="1">
      <c r="A88" s="19" t="s">
        <v>87</v>
      </c>
      <c r="B88" s="19" t="n">
        <v>64500</v>
      </c>
      <c r="D88" s="47" t="s">
        <v>45</v>
      </c>
      <c r="E88" s="47"/>
      <c r="F88" s="46" t="s">
        <f t="array" ref="F88">INDEX($D$1:$D$861,ROW()*2)</f>
        <v>88</v>
      </c>
      <c r="G88" s="46" t="n">
        <f t="array" ref="G88">INDEX($D$1:$D$861,ROW()*4-1)</f>
        <v>1.6</v>
      </c>
      <c r="H88" s="5" t="n">
        <f>G88*10000</f>
        <v>16000</v>
      </c>
    </row>
    <row r="89" ht="18" customHeight="1">
      <c r="A89" s="19" t="s">
        <v>88</v>
      </c>
      <c r="B89" s="19" t="n">
        <v>64400</v>
      </c>
      <c r="D89" s="50" t="n">
        <v>16.41</v>
      </c>
      <c r="E89" s="51"/>
      <c r="F89" s="46" t="s">
        <f t="array" ref="F89">INDEX($D$1:$D$861,ROW()*2)</f>
        <v>89</v>
      </c>
      <c r="G89" s="46" t="n">
        <f t="array" ref="G89">INDEX($D$1:$D$861,ROW()*4-1)</f>
        <v>1.55</v>
      </c>
      <c r="H89" s="5" t="n">
        <f>G89*10000</f>
        <v>15500</v>
      </c>
    </row>
    <row r="90" ht="12.75" customHeight="1">
      <c r="A90" s="19" t="s">
        <v>89</v>
      </c>
      <c r="B90" s="19" t="n">
        <v>64300</v>
      </c>
      <c r="D90" s="47" t="s">
        <v>46</v>
      </c>
      <c r="E90" s="47"/>
      <c r="F90" s="46" t="s">
        <f t="array" ref="F90">INDEX($D$1:$D$861,ROW()*2)</f>
        <v>90</v>
      </c>
      <c r="G90" s="46" t="n">
        <f t="array" ref="G90">INDEX($D$1:$D$861,ROW()*4-1)</f>
        <v>1.53</v>
      </c>
      <c r="H90" s="5" t="n">
        <f>G90*10000</f>
        <v>15300</v>
      </c>
    </row>
    <row r="91" ht="18" customHeight="1">
      <c r="A91" s="19" t="s">
        <v>90</v>
      </c>
      <c r="B91" s="19" t="n">
        <v>63800</v>
      </c>
      <c r="D91" s="50" t="n">
        <v>16.36</v>
      </c>
      <c r="E91" s="51"/>
      <c r="F91" s="46" t="s">
        <f t="array" ref="F91">INDEX($D$1:$D$861,ROW()*2)</f>
        <v>91</v>
      </c>
      <c r="G91" s="46" t="n">
        <f t="array" ref="G91">INDEX($D$1:$D$861,ROW()*4-1)</f>
        <v>1.49</v>
      </c>
      <c r="H91" s="5" t="n">
        <f>G91*10000</f>
        <v>14900</v>
      </c>
    </row>
    <row r="92" ht="12.75" customHeight="1">
      <c r="A92" s="19" t="s">
        <v>91</v>
      </c>
      <c r="B92" s="19" t="n">
        <v>62700</v>
      </c>
      <c r="D92" s="47" t="s">
        <v>47</v>
      </c>
      <c r="E92" s="47"/>
      <c r="F92" s="46" t="s">
        <f t="array" ref="F92">INDEX($D$1:$D$861,ROW()*2)</f>
        <v>92</v>
      </c>
      <c r="G92" s="46" t="n">
        <f t="array" ref="G92">INDEX($D$1:$D$861,ROW()*4-1)</f>
        <v>1.46</v>
      </c>
      <c r="H92" s="5" t="n">
        <f>G92*10000</f>
        <v>14600</v>
      </c>
    </row>
    <row r="93" ht="18" customHeight="1">
      <c r="A93" s="19" t="s">
        <v>92</v>
      </c>
      <c r="B93" s="19" t="n">
        <v>62400</v>
      </c>
      <c r="D93" s="50" t="n">
        <v>15.23</v>
      </c>
      <c r="E93" s="51"/>
      <c r="F93" s="46" t="s">
        <f t="array" ref="F93">INDEX($D$1:$D$861,ROW()*2)</f>
        <v>93</v>
      </c>
      <c r="G93" s="46" t="n">
        <f t="array" ref="G93">INDEX($D$1:$D$861,ROW()*4-1)</f>
        <v>1.44</v>
      </c>
      <c r="H93" s="5" t="n">
        <f>G93*10000</f>
        <v>14400</v>
      </c>
    </row>
    <row r="94" ht="12.75" customHeight="1">
      <c r="A94" s="19" t="s">
        <v>93</v>
      </c>
      <c r="B94" s="19" t="n">
        <v>60000</v>
      </c>
      <c r="D94" s="47" t="s">
        <v>48</v>
      </c>
      <c r="E94" s="47"/>
      <c r="F94" s="46" t="s">
        <f t="array" ref="F94">INDEX($D$1:$D$861,ROW()*2)</f>
        <v>94</v>
      </c>
      <c r="G94" s="46" t="n">
        <f t="array" ref="G94">INDEX($D$1:$D$861,ROW()*4-1)</f>
        <v>1.42</v>
      </c>
      <c r="H94" s="5" t="n">
        <f>G94*10000</f>
        <v>14200</v>
      </c>
    </row>
    <row r="95" ht="18" customHeight="1">
      <c r="A95" s="19" t="s">
        <v>94</v>
      </c>
      <c r="B95" s="19" t="n">
        <v>58900</v>
      </c>
      <c r="D95" s="50" t="n">
        <v>15.03</v>
      </c>
      <c r="E95" s="51"/>
      <c r="F95" s="46" t="s">
        <f t="array" ref="F95">INDEX($D$1:$D$861,ROW()*2)</f>
        <v>95</v>
      </c>
      <c r="G95" s="46" t="n">
        <f t="array" ref="G95">INDEX($D$1:$D$861,ROW()*4-1)</f>
        <v>1.37</v>
      </c>
      <c r="H95" s="5" t="n">
        <f>G95*10000</f>
        <v>13700</v>
      </c>
    </row>
    <row r="96" ht="12.75" customHeight="1">
      <c r="A96" s="19" t="s">
        <v>95</v>
      </c>
      <c r="B96" s="19" t="n">
        <v>56600</v>
      </c>
      <c r="D96" s="47" t="n">
        <v>2024</v>
      </c>
      <c r="E96" s="47"/>
      <c r="F96" s="46" t="n">
        <f t="array" ref="F96">INDEX($D$1:$D$861,ROW()*2)</f>
        <v>999</v>
      </c>
      <c r="G96" s="46" t="n">
        <f t="array" ref="G96">INDEX($D$1:$D$861,ROW()*4-1)</f>
        <v>1.32</v>
      </c>
      <c r="H96" s="5" t="n">
        <f>G96*10000</f>
        <v>13200</v>
      </c>
    </row>
    <row r="97" ht="18" customHeight="1">
      <c r="A97" s="19" t="n">
        <v>999</v>
      </c>
      <c r="B97" s="19" t="n">
        <v>55800</v>
      </c>
      <c r="D97" s="50" t="n">
        <v>14.98</v>
      </c>
      <c r="E97" s="51"/>
      <c r="F97" s="46" t="s">
        <f t="array" ref="F97">INDEX($D$1:$D$861,ROW()*2)</f>
        <v>96</v>
      </c>
      <c r="G97" s="46" t="n">
        <f t="array" ref="G97">INDEX($D$1:$D$861,ROW()*4-1)</f>
        <v>1.25</v>
      </c>
      <c r="H97" s="5" t="n">
        <f>G97*10000</f>
        <v>12500</v>
      </c>
    </row>
    <row r="98" ht="12.75" customHeight="1">
      <c r="A98" s="19" t="s">
        <v>96</v>
      </c>
      <c r="B98" s="19" t="n">
        <v>55500</v>
      </c>
      <c r="D98" s="47" t="s">
        <v>49</v>
      </c>
      <c r="E98" s="47"/>
      <c r="F98" s="46" t="s">
        <f t="array" ref="F98">INDEX($D$1:$D$861,ROW()*2)</f>
        <v>97</v>
      </c>
      <c r="G98" s="46" t="n">
        <f t="array" ref="G98">INDEX($D$1:$D$861,ROW()*4-1)</f>
        <v>1.2</v>
      </c>
      <c r="H98" s="5" t="n">
        <f>G98*10000</f>
        <v>12000</v>
      </c>
    </row>
    <row r="99" ht="18" customHeight="1">
      <c r="A99" s="19" t="s">
        <v>97</v>
      </c>
      <c r="B99" s="19" t="n">
        <v>53100</v>
      </c>
      <c r="D99" s="50" t="n">
        <v>14.7</v>
      </c>
      <c r="E99" s="51"/>
      <c r="F99" s="46" t="s">
        <f t="array" ref="F99">INDEX($D$1:$D$861,ROW()*2)</f>
        <v>98</v>
      </c>
      <c r="G99" s="46" t="n">
        <f t="array" ref="G99">INDEX($D$1:$D$861,ROW()*4-1)</f>
        <v>1.18</v>
      </c>
      <c r="H99" s="5" t="n">
        <f>G99*10000</f>
        <v>11800</v>
      </c>
    </row>
    <row r="100" ht="12.75" customHeight="1">
      <c r="A100" s="19" t="s">
        <v>98</v>
      </c>
      <c r="B100" s="19" t="n">
        <v>53100</v>
      </c>
      <c r="D100" s="47" t="s">
        <v>50</v>
      </c>
      <c r="E100" s="47"/>
      <c r="F100" s="46" t="s">
        <f t="array" ref="F100">INDEX($D$1:$D$861,ROW()*2)</f>
        <v>99</v>
      </c>
      <c r="G100" s="46" t="n">
        <f t="array" ref="G100">INDEX($D$1:$D$861,ROW()*4-1)</f>
        <v>1.16</v>
      </c>
      <c r="H100" s="5" t="n">
        <f>G100*10000</f>
        <v>11600</v>
      </c>
    </row>
    <row r="101" ht="18" customHeight="1">
      <c r="A101" s="19" t="s">
        <v>99</v>
      </c>
      <c r="B101" s="19" t="n">
        <v>52400</v>
      </c>
      <c r="D101" s="50" t="n">
        <v>14.59</v>
      </c>
      <c r="E101" s="51"/>
      <c r="F101" s="46" t="s">
        <f t="array" ref="F101">INDEX($D$1:$D$861,ROW()*2)</f>
        <v>100</v>
      </c>
      <c r="G101" s="46" t="n">
        <f t="array" ref="G101">INDEX($D$1:$D$861,ROW()*4-1)</f>
        <v>1.15</v>
      </c>
      <c r="H101" s="5" t="n">
        <f>G101*10000</f>
        <v>11500</v>
      </c>
    </row>
    <row r="102" ht="12.75" customHeight="1">
      <c r="A102" s="19" t="s">
        <v>100</v>
      </c>
      <c r="B102" s="19" t="n">
        <v>51800</v>
      </c>
      <c r="D102" s="47" t="s">
        <v>51</v>
      </c>
      <c r="E102" s="47"/>
      <c r="F102" s="46" t="s">
        <f t="array" ref="F102">INDEX($D$1:$D$861,ROW()*2)</f>
        <v>101</v>
      </c>
      <c r="G102" s="46" t="n">
        <f t="array" ref="G102">INDEX($D$1:$D$861,ROW()*4-1)</f>
        <v>1.11</v>
      </c>
      <c r="H102" s="5" t="n">
        <f>G102*10000</f>
        <v>11100</v>
      </c>
    </row>
    <row r="103" ht="18" customHeight="1">
      <c r="A103" s="19" t="s">
        <v>101</v>
      </c>
      <c r="B103" s="19" t="n">
        <v>51400</v>
      </c>
      <c r="D103" s="50" t="n">
        <v>13.63</v>
      </c>
      <c r="E103" s="51"/>
      <c r="F103" s="46" t="s">
        <f t="array" ref="F103">INDEX($D$1:$D$861,ROW()*2)</f>
        <v>102</v>
      </c>
      <c r="G103" s="46" t="n">
        <f t="array" ref="G103">INDEX($D$1:$D$861,ROW()*4-1)</f>
        <v>1.1</v>
      </c>
      <c r="H103" s="5" t="n">
        <f>G103*10000</f>
        <v>11000</v>
      </c>
    </row>
    <row r="104" ht="12.75" customHeight="1">
      <c r="A104" s="19" t="s">
        <v>102</v>
      </c>
      <c r="B104" s="19" t="n">
        <v>51300</v>
      </c>
      <c r="D104" s="47" t="s">
        <v>52</v>
      </c>
      <c r="E104" s="47"/>
      <c r="F104" s="46" t="s">
        <f t="array" ref="F104">INDEX($D$1:$D$861,ROW()*2)</f>
        <v>103</v>
      </c>
      <c r="G104" s="46" t="n">
        <f t="array" ref="G104">INDEX($D$1:$D$861,ROW()*4-1)</f>
        <v>1.09</v>
      </c>
      <c r="H104" s="5" t="n">
        <f>G104*10000</f>
        <v>10900</v>
      </c>
    </row>
    <row r="105" ht="18" customHeight="1">
      <c r="A105" s="19" t="s">
        <v>103</v>
      </c>
      <c r="B105" s="19" t="n">
        <v>50000</v>
      </c>
      <c r="D105" s="50" t="n">
        <v>12.91</v>
      </c>
      <c r="E105" s="51"/>
      <c r="F105" s="46" t="s">
        <f t="array" ref="F105">INDEX($D$1:$D$861,ROW()*2)</f>
        <v>104</v>
      </c>
      <c r="G105" s="46" t="n">
        <f t="array" ref="G105">INDEX($D$1:$D$861,ROW()*4-1)</f>
        <v>1.05</v>
      </c>
      <c r="H105" s="5" t="n">
        <f>G105*10000</f>
        <v>10500</v>
      </c>
    </row>
    <row r="106" ht="12.75" customHeight="1">
      <c r="A106" s="19" t="s">
        <v>104</v>
      </c>
      <c r="B106" s="19" t="n">
        <v>48500</v>
      </c>
      <c r="D106" s="47" t="s">
        <v>53</v>
      </c>
      <c r="E106" s="47"/>
      <c r="F106" s="46" t="s">
        <f t="array" ref="F106">INDEX($D$1:$D$861,ROW()*2)</f>
        <v>105</v>
      </c>
      <c r="G106" s="46" t="n">
        <f t="array" ref="G106">INDEX($D$1:$D$861,ROW()*4-1)</f>
        <v>1.04</v>
      </c>
      <c r="H106" s="5" t="n">
        <f>G106*10000</f>
        <v>10400</v>
      </c>
    </row>
    <row r="107" ht="18" customHeight="1">
      <c r="A107" s="19" t="s">
        <v>105</v>
      </c>
      <c r="B107" s="19" t="n">
        <v>48500</v>
      </c>
      <c r="D107" s="50" t="n">
        <v>12.58</v>
      </c>
      <c r="E107" s="51"/>
      <c r="F107" s="46" t="s">
        <f t="array" ref="F107">INDEX($D$1:$D$861,ROW()*2)</f>
        <v>106</v>
      </c>
      <c r="G107" s="46" t="n">
        <f t="array" ref="G107">INDEX($D$1:$D$861,ROW()*4-1)</f>
        <v>1.03</v>
      </c>
      <c r="H107" s="5" t="n">
        <f>G107*10000</f>
        <v>10300</v>
      </c>
    </row>
    <row r="108" ht="12.75" customHeight="1">
      <c r="A108" s="19" t="s">
        <v>106</v>
      </c>
      <c r="B108" s="19" t="n">
        <v>47800</v>
      </c>
      <c r="D108" s="47" t="s">
        <v>54</v>
      </c>
      <c r="E108" s="47"/>
      <c r="F108" s="46" t="s">
        <f t="array" ref="F108">INDEX($D$1:$D$861,ROW()*2)</f>
        <v>107</v>
      </c>
      <c r="G108" s="46" t="n">
        <f t="array" ref="G108">INDEX($D$1:$D$861,ROW()*4-1)</f>
        <v>1.01</v>
      </c>
      <c r="H108" s="5" t="n">
        <f>G108*10000</f>
        <v>10100</v>
      </c>
    </row>
    <row r="109" ht="18" customHeight="1">
      <c r="A109" s="19" t="s">
        <v>107</v>
      </c>
      <c r="B109" s="19" t="n">
        <v>47500</v>
      </c>
      <c r="D109" s="50" t="n">
        <v>11.84</v>
      </c>
      <c r="E109" s="51"/>
      <c r="F109" s="46" t="s">
        <f t="array" ref="F109">INDEX($D$1:$D$861,ROW()*2)</f>
        <v>108</v>
      </c>
      <c r="G109" s="46" t="n">
        <f t="array" ref="G109">INDEX($D$1:$D$861,ROW()*4-1)</f>
        <v>1.01</v>
      </c>
      <c r="H109" s="5" t="n">
        <f>G109*10000</f>
        <v>10100</v>
      </c>
    </row>
    <row r="110" ht="12.75" customHeight="1">
      <c r="A110" s="19" t="s">
        <v>108</v>
      </c>
      <c r="B110" s="19" t="n">
        <v>47400</v>
      </c>
      <c r="D110" s="47" t="s">
        <v>55</v>
      </c>
      <c r="E110" s="47"/>
      <c r="F110" s="46" t="s">
        <f t="array" ref="F110">INDEX($D$1:$D$861,ROW()*2)</f>
        <v>109</v>
      </c>
      <c r="G110" s="46" t="n">
        <f t="array" ref="G110">INDEX($D$1:$D$861,ROW()*4-1)</f>
        <v>8932</v>
      </c>
      <c r="H110" s="5" t="n">
        <f>G110*10000</f>
        <v>89320000</v>
      </c>
    </row>
    <row r="111" ht="18" customHeight="1">
      <c r="A111" s="19" t="s">
        <v>109</v>
      </c>
      <c r="B111" s="19" t="n">
        <v>46500</v>
      </c>
      <c r="D111" s="50" t="n">
        <v>10.85</v>
      </c>
      <c r="E111" s="51"/>
      <c r="F111" s="46" t="s">
        <f t="array" ref="F111">INDEX($D$1:$D$861,ROW()*2)</f>
        <v>110</v>
      </c>
      <c r="G111" s="46" t="n">
        <f t="array" ref="G111">INDEX($D$1:$D$861,ROW()*4-1)</f>
        <v>8320</v>
      </c>
      <c r="H111" s="5" t="n">
        <f>G111*10000</f>
        <v>83200000</v>
      </c>
    </row>
    <row r="112" ht="12.75" customHeight="1">
      <c r="A112" s="19" t="s">
        <v>110</v>
      </c>
      <c r="B112" s="19" t="n">
        <v>45700</v>
      </c>
      <c r="D112" s="47" t="s">
        <v>56</v>
      </c>
      <c r="E112" s="47"/>
      <c r="F112" s="46" t="s">
        <f t="array" ref="F112">INDEX($D$1:$D$861,ROW()*2)</f>
        <v>111</v>
      </c>
      <c r="G112" s="46" t="n">
        <f t="array" ref="G112">INDEX($D$1:$D$861,ROW()*4-1)</f>
        <v>8075</v>
      </c>
      <c r="H112" s="5" t="n">
        <f>G112*10000</f>
        <v>80750000</v>
      </c>
    </row>
    <row r="113" ht="18" customHeight="1">
      <c r="A113" s="19" t="s">
        <v>111</v>
      </c>
      <c r="B113" s="19" t="n">
        <v>44700</v>
      </c>
      <c r="D113" s="50" t="n">
        <v>10.62</v>
      </c>
      <c r="E113" s="51"/>
      <c r="F113" s="46" t="s">
        <f t="array" ref="F113">INDEX($D$1:$D$861,ROW()*2)</f>
        <v>112</v>
      </c>
      <c r="G113" s="46" t="n">
        <f t="array" ref="G113">INDEX($D$1:$D$861,ROW()*4-1)</f>
        <v>7905</v>
      </c>
      <c r="H113" s="5" t="n">
        <f>G113*10000</f>
        <v>79050000</v>
      </c>
    </row>
    <row r="114" ht="12.75" customHeight="1">
      <c r="A114" s="19" t="s">
        <v>112</v>
      </c>
      <c r="B114" s="19" t="n">
        <v>44600</v>
      </c>
      <c r="D114" s="47" t="s">
        <v>57</v>
      </c>
      <c r="E114" s="47"/>
      <c r="F114" s="46" t="s">
        <f t="array" ref="F114">INDEX($D$1:$D$861,ROW()*2)</f>
        <v>113</v>
      </c>
      <c r="G114" s="46" t="n">
        <f t="array" ref="G114">INDEX($D$1:$D$861,ROW()*4-1)</f>
        <v>7557</v>
      </c>
      <c r="H114" s="5" t="n">
        <f>G114*10000</f>
        <v>75570000</v>
      </c>
    </row>
    <row r="115" ht="18" customHeight="1">
      <c r="A115" s="19" t="s">
        <v>113</v>
      </c>
      <c r="B115" s="19" t="n">
        <v>41400</v>
      </c>
      <c r="D115" s="50" t="n">
        <v>10.23</v>
      </c>
      <c r="E115" s="51"/>
      <c r="F115" s="46" t="s">
        <f t="array" ref="F115">INDEX($D$1:$D$861,ROW()*2)</f>
        <v>114</v>
      </c>
      <c r="G115" s="46" t="n">
        <f t="array" ref="G115">INDEX($D$1:$D$861,ROW()*4-1)</f>
        <v>7446</v>
      </c>
      <c r="H115" s="5" t="n">
        <f>G115*10000</f>
        <v>74460000</v>
      </c>
    </row>
    <row r="116" ht="12.75" customHeight="1">
      <c r="A116" s="19" t="s">
        <v>114</v>
      </c>
      <c r="B116" s="19" t="n">
        <v>40800</v>
      </c>
      <c r="D116" s="47" t="s">
        <v>58</v>
      </c>
      <c r="E116" s="47"/>
      <c r="F116" s="46" t="s">
        <f t="array" ref="F116">INDEX($D$1:$D$861,ROW()*2)</f>
        <v>115</v>
      </c>
      <c r="G116" s="46" t="n">
        <f t="array" ref="G116">INDEX($D$1:$D$861,ROW()*4-1)</f>
        <v>7132</v>
      </c>
      <c r="H116" s="5" t="n">
        <f>G116*10000</f>
        <v>71320000</v>
      </c>
    </row>
    <row r="117" ht="18" customHeight="1">
      <c r="A117" s="19" t="s">
        <v>115</v>
      </c>
      <c r="B117" s="19" t="n">
        <v>39200</v>
      </c>
      <c r="D117" s="50" t="n">
        <v>9.84</v>
      </c>
      <c r="E117" s="51"/>
      <c r="F117" s="46" t="s">
        <f t="array" ref="F117">INDEX($D$1:$D$861,ROW()*2)</f>
        <v>116</v>
      </c>
      <c r="G117" s="46" t="n">
        <f t="array" ref="G117">INDEX($D$1:$D$861,ROW()*4-1)</f>
        <v>7070</v>
      </c>
      <c r="H117" s="5" t="n">
        <f>G117*10000</f>
        <v>70700000</v>
      </c>
    </row>
    <row r="118" ht="12.75" customHeight="1">
      <c r="A118" s="19" t="s">
        <v>116</v>
      </c>
      <c r="B118" s="19" t="n">
        <v>38300</v>
      </c>
      <c r="D118" s="47" t="s">
        <v>59</v>
      </c>
      <c r="E118" s="47"/>
      <c r="F118" s="46" t="s">
        <f t="array" ref="F118">INDEX($D$1:$D$861,ROW()*2)</f>
        <v>117</v>
      </c>
      <c r="G118" s="46" t="n">
        <f t="array" ref="G118">INDEX($D$1:$D$861,ROW()*4-1)</f>
        <v>6882</v>
      </c>
      <c r="H118" s="5" t="n">
        <f>G118*10000</f>
        <v>68820000</v>
      </c>
    </row>
    <row r="119" ht="18" customHeight="1">
      <c r="A119" s="19" t="s">
        <v>117</v>
      </c>
      <c r="B119" s="19" t="n">
        <v>35200</v>
      </c>
      <c r="D119" s="50" t="n">
        <v>9.71</v>
      </c>
      <c r="E119" s="51"/>
      <c r="F119" s="46" t="s">
        <f t="array" ref="F119">INDEX($D$1:$D$861,ROW()*2)</f>
        <v>118</v>
      </c>
      <c r="G119" s="46" t="n">
        <f t="array" ref="G119">INDEX($D$1:$D$861,ROW()*4-1)</f>
        <v>6608</v>
      </c>
      <c r="H119" s="5" t="n">
        <f>G119*10000</f>
        <v>66080000</v>
      </c>
    </row>
    <row r="120" ht="12.75" customHeight="1">
      <c r="A120" s="19" t="s">
        <v>118</v>
      </c>
      <c r="B120" s="19" t="n">
        <v>35200</v>
      </c>
      <c r="D120" s="47" t="s">
        <v>60</v>
      </c>
      <c r="E120" s="47"/>
      <c r="F120" s="46" t="s">
        <f t="array" ref="F120">INDEX($D$1:$D$861,ROW()*2)</f>
        <v>119</v>
      </c>
      <c r="G120" s="46" t="n">
        <f t="array" ref="G120">INDEX($D$1:$D$861,ROW()*4-1)</f>
        <v>6536</v>
      </c>
      <c r="H120" s="5" t="n">
        <f>G120*10000</f>
        <v>65360000</v>
      </c>
    </row>
    <row r="121" ht="18" customHeight="1">
      <c r="A121" s="19" t="s">
        <v>119</v>
      </c>
      <c r="B121" s="19" t="n">
        <v>34300</v>
      </c>
      <c r="D121" s="50" t="n">
        <v>9.67</v>
      </c>
      <c r="E121" s="51"/>
      <c r="F121" s="46" t="s">
        <f t="array" ref="F121">INDEX($D$1:$D$861,ROW()*2)</f>
        <v>120</v>
      </c>
      <c r="G121" s="46" t="n">
        <f t="array" ref="G121">INDEX($D$1:$D$861,ROW()*4-1)</f>
        <v>6519</v>
      </c>
      <c r="H121" s="5" t="n">
        <f>G121*10000</f>
        <v>65190000</v>
      </c>
    </row>
    <row r="122" ht="12.75" customHeight="1">
      <c r="A122" s="19" t="s">
        <v>120</v>
      </c>
      <c r="B122" s="19" t="n">
        <v>34100</v>
      </c>
      <c r="D122" s="47" t="s">
        <v>61</v>
      </c>
      <c r="E122" s="47"/>
      <c r="F122" s="46" t="s">
        <f t="array" ref="F122">INDEX($D$1:$D$861,ROW()*2)</f>
        <v>121</v>
      </c>
      <c r="G122" s="46" t="n">
        <f t="array" ref="G122">INDEX($D$1:$D$861,ROW()*4-1)</f>
        <v>6348</v>
      </c>
      <c r="H122" s="5" t="n">
        <f>G122*10000</f>
        <v>63480000</v>
      </c>
    </row>
    <row r="123" ht="18" customHeight="1">
      <c r="A123" s="19" t="s">
        <v>121</v>
      </c>
      <c r="B123" s="19" t="n">
        <v>33700</v>
      </c>
      <c r="D123" s="50" t="n">
        <v>9.53</v>
      </c>
      <c r="E123" s="51"/>
      <c r="F123" s="46" t="s">
        <f t="array" ref="F123">INDEX($D$1:$D$861,ROW()*2)</f>
        <v>122</v>
      </c>
      <c r="G123" s="46" t="n">
        <f t="array" ref="G123">INDEX($D$1:$D$861,ROW()*4-1)</f>
        <v>6318</v>
      </c>
      <c r="H123" s="5" t="n">
        <f>G123*10000</f>
        <v>63180000</v>
      </c>
    </row>
    <row r="124" ht="12.75" customHeight="1">
      <c r="A124" s="19" t="s">
        <v>122</v>
      </c>
      <c r="B124" s="19" t="n">
        <v>33200</v>
      </c>
      <c r="D124" s="47" t="s">
        <v>62</v>
      </c>
      <c r="E124" s="47"/>
      <c r="F124" s="46" t="s">
        <f t="array" ref="F124">INDEX($D$1:$D$861,ROW()*2)</f>
        <v>123</v>
      </c>
      <c r="G124" s="46" t="n">
        <f t="array" ref="G124">INDEX($D$1:$D$861,ROW()*4-1)</f>
        <v>6046</v>
      </c>
      <c r="H124" s="5" t="n">
        <f>G124*10000</f>
        <v>60460000</v>
      </c>
    </row>
    <row r="125" ht="18" customHeight="1">
      <c r="A125" s="19" t="s">
        <v>123</v>
      </c>
      <c r="B125" s="19" t="n">
        <v>32700</v>
      </c>
      <c r="D125" s="50" t="n">
        <v>9.52</v>
      </c>
      <c r="E125" s="51"/>
      <c r="F125" s="46" t="s">
        <f t="array" ref="F125">INDEX($D$1:$D$861,ROW()*2)</f>
        <v>124</v>
      </c>
      <c r="G125" s="46" t="n">
        <f t="array" ref="G125">INDEX($D$1:$D$861,ROW()*4-1)</f>
        <v>5986</v>
      </c>
      <c r="H125" s="5" t="n">
        <f>G125*10000</f>
        <v>59860000</v>
      </c>
    </row>
    <row r="126" ht="12.75" customHeight="1">
      <c r="A126" s="19" t="s">
        <v>124</v>
      </c>
      <c r="B126" s="19" t="n">
        <v>31600</v>
      </c>
      <c r="D126" s="47" t="s">
        <v>63</v>
      </c>
      <c r="E126" s="47"/>
      <c r="F126" s="46" t="s">
        <f t="array" ref="F126">INDEX($D$1:$D$861,ROW()*2)</f>
        <v>125</v>
      </c>
      <c r="G126" s="46" t="n">
        <f t="array" ref="G126">INDEX($D$1:$D$861,ROW()*4-1)</f>
        <v>5809</v>
      </c>
      <c r="H126" s="5" t="n">
        <f>G126*10000</f>
        <v>58090000</v>
      </c>
    </row>
    <row r="127" ht="18" customHeight="1">
      <c r="A127" s="19" t="s">
        <v>125</v>
      </c>
      <c r="B127" s="19" t="n">
        <v>30100</v>
      </c>
      <c r="D127" s="50" t="n">
        <v>9.4</v>
      </c>
      <c r="E127" s="51"/>
      <c r="F127" s="46" t="s">
        <f t="array" ref="F127">INDEX($D$1:$D$861,ROW()*2)</f>
        <v>126</v>
      </c>
      <c r="G127" s="46" t="n">
        <f t="array" ref="G127">INDEX($D$1:$D$861,ROW()*4-1)</f>
        <v>5805</v>
      </c>
      <c r="H127" s="5" t="n">
        <f>G127*10000</f>
        <v>58050000</v>
      </c>
    </row>
    <row r="128" ht="12.75" customHeight="1">
      <c r="A128" s="19" t="s">
        <v>126</v>
      </c>
      <c r="B128" s="19" t="n">
        <v>29000</v>
      </c>
      <c r="D128" s="47" t="s">
        <v>64</v>
      </c>
      <c r="E128" s="47"/>
      <c r="F128" s="46" t="s">
        <f t="array" ref="F128">INDEX($D$1:$D$861,ROW()*2)</f>
        <v>127</v>
      </c>
      <c r="G128" s="46" t="n">
        <f t="array" ref="G128">INDEX($D$1:$D$861,ROW()*4-1)</f>
        <v>5658</v>
      </c>
      <c r="H128" s="5" t="n">
        <f>G128*10000</f>
        <v>56580000</v>
      </c>
    </row>
    <row r="129" ht="18" customHeight="1">
      <c r="A129" s="19" t="s">
        <v>127</v>
      </c>
      <c r="B129" s="19" t="n">
        <v>28900</v>
      </c>
      <c r="D129" s="50" t="n">
        <v>9.3</v>
      </c>
      <c r="E129" s="51"/>
      <c r="F129" s="46" t="s">
        <f t="array" ref="F129">INDEX($D$1:$D$861,ROW()*2)</f>
        <v>128</v>
      </c>
      <c r="G129" s="46" t="n">
        <f t="array" ref="G129">INDEX($D$1:$D$861,ROW()*4-1)</f>
        <v>5522</v>
      </c>
      <c r="H129" s="5" t="n">
        <f>G129*10000</f>
        <v>55220000</v>
      </c>
    </row>
    <row r="130" ht="12.75" customHeight="1">
      <c r="A130" s="19" t="s">
        <v>128</v>
      </c>
      <c r="B130" s="19" t="n">
        <v>28300</v>
      </c>
      <c r="D130" s="47" t="s">
        <v>65</v>
      </c>
      <c r="E130" s="47"/>
      <c r="F130" s="46" t="s">
        <f t="array" ref="F130">INDEX($D$1:$D$861,ROW()*2)</f>
        <v>129</v>
      </c>
      <c r="G130" s="46" t="n">
        <f t="array" ref="G130">INDEX($D$1:$D$861,ROW()*4-1)</f>
        <v>5271</v>
      </c>
      <c r="H130" s="5" t="n">
        <f>G130*10000</f>
        <v>52710000</v>
      </c>
    </row>
    <row r="131" ht="18" customHeight="1">
      <c r="A131" s="19" t="s">
        <v>129</v>
      </c>
      <c r="B131" s="19" t="n">
        <v>28300</v>
      </c>
      <c r="D131" s="50" t="n">
        <v>9.16</v>
      </c>
      <c r="E131" s="51"/>
      <c r="F131" s="46" t="s">
        <f t="array" ref="F131">INDEX($D$1:$D$861,ROW()*2)</f>
        <v>130</v>
      </c>
      <c r="G131" s="46" t="n">
        <f t="array" ref="G131">INDEX($D$1:$D$861,ROW()*4-1)</f>
        <v>4677</v>
      </c>
      <c r="H131" s="5" t="n">
        <f>G131*10000</f>
        <v>46770000</v>
      </c>
    </row>
    <row r="132" ht="12.75" customHeight="1">
      <c r="A132" s="19" t="s">
        <v>130</v>
      </c>
      <c r="B132" s="19" t="n">
        <v>27900</v>
      </c>
      <c r="D132" s="47" t="s">
        <v>66</v>
      </c>
      <c r="E132" s="47"/>
      <c r="F132" s="46" t="s">
        <f t="array" ref="F132">INDEX($D$1:$D$861,ROW()*2)</f>
        <v>131</v>
      </c>
      <c r="G132" s="46" t="n">
        <f t="array" ref="G132">INDEX($D$1:$D$861,ROW()*4-1)</f>
        <v>4638</v>
      </c>
      <c r="H132" s="5" t="n">
        <f>G132*10000</f>
        <v>46380000</v>
      </c>
    </row>
    <row r="133" ht="18" customHeight="1">
      <c r="A133" s="19" t="s">
        <v>131</v>
      </c>
      <c r="B133" s="19" t="n">
        <v>27900</v>
      </c>
      <c r="D133" s="50" t="n">
        <v>8.91</v>
      </c>
      <c r="E133" s="51"/>
      <c r="F133" s="46" t="s">
        <f t="array" ref="F133">INDEX($D$1:$D$861,ROW()*2)</f>
        <v>132</v>
      </c>
      <c r="G133" s="46" t="n">
        <f t="array" ref="G133">INDEX($D$1:$D$861,ROW()*4-1)</f>
        <v>4587</v>
      </c>
      <c r="H133" s="5" t="n">
        <f>G133*10000</f>
        <v>45870000</v>
      </c>
    </row>
    <row r="134" ht="12.75" customHeight="1">
      <c r="A134" s="19" t="s">
        <v>132</v>
      </c>
      <c r="B134" s="19" t="n">
        <v>26900</v>
      </c>
      <c r="D134" s="47" t="s">
        <v>67</v>
      </c>
      <c r="E134" s="47"/>
      <c r="F134" s="46" t="s">
        <f t="array" ref="F134">INDEX($D$1:$D$861,ROW()*2)</f>
        <v>133</v>
      </c>
      <c r="G134" s="46" t="n">
        <f t="array" ref="G134">INDEX($D$1:$D$861,ROW()*4-1)</f>
        <v>4218</v>
      </c>
      <c r="H134" s="5" t="n">
        <f>G134*10000</f>
        <v>42180000</v>
      </c>
    </row>
    <row r="135" ht="18" customHeight="1">
      <c r="A135" s="19" t="s">
        <v>133</v>
      </c>
      <c r="B135" s="19" t="n">
        <v>26900</v>
      </c>
      <c r="D135" s="50" t="n">
        <v>8.91</v>
      </c>
      <c r="E135" s="51"/>
      <c r="F135" s="46" t="s">
        <f t="array" ref="F135">INDEX($D$1:$D$861,ROW()*2)</f>
        <v>134</v>
      </c>
      <c r="G135" s="46" t="n">
        <f t="array" ref="G135">INDEX($D$1:$D$861,ROW()*4-1)</f>
        <v>4203</v>
      </c>
      <c r="H135" s="5" t="n">
        <f>G135*10000</f>
        <v>42030000</v>
      </c>
    </row>
    <row r="136" ht="12.75" customHeight="1">
      <c r="A136" s="19" t="s">
        <v>134</v>
      </c>
      <c r="B136" s="19" t="n">
        <v>25500</v>
      </c>
      <c r="D136" s="47" t="s">
        <v>68</v>
      </c>
      <c r="E136" s="47"/>
      <c r="F136" s="46" t="s">
        <f t="array" ref="F136">INDEX($D$1:$D$861,ROW()*2)</f>
        <v>135</v>
      </c>
      <c r="G136" s="46" t="n">
        <f t="array" ref="G136">INDEX($D$1:$D$861,ROW()*4-1)</f>
        <v>3891</v>
      </c>
      <c r="H136" s="5" t="n">
        <f>G136*10000</f>
        <v>38910000</v>
      </c>
    </row>
    <row r="137" ht="18" customHeight="1">
      <c r="A137" s="19" t="s">
        <v>135</v>
      </c>
      <c r="B137" s="19" t="n">
        <v>25200</v>
      </c>
      <c r="D137" s="50" t="n">
        <v>8.86</v>
      </c>
      <c r="E137" s="51"/>
      <c r="F137" s="46" t="s">
        <f t="array" ref="F137">INDEX($D$1:$D$861,ROW()*2)</f>
        <v>136</v>
      </c>
      <c r="G137" s="46" t="n">
        <f t="array" ref="G137">INDEX($D$1:$D$861,ROW()*4-1)</f>
        <v>3500</v>
      </c>
      <c r="H137" s="5" t="n">
        <f>G137*10000</f>
        <v>35000000</v>
      </c>
    </row>
    <row r="138" ht="12.75" customHeight="1">
      <c r="A138" s="19" t="s">
        <v>136</v>
      </c>
      <c r="B138" s="19" t="n">
        <v>25000</v>
      </c>
      <c r="D138" s="47" t="s">
        <v>69</v>
      </c>
      <c r="E138" s="47"/>
      <c r="F138" s="46" t="s">
        <f t="array" ref="F138">INDEX($D$1:$D$861,ROW()*2)</f>
        <v>137</v>
      </c>
      <c r="G138" s="46" t="n">
        <f t="array" ref="G138">INDEX($D$1:$D$861,ROW()*4-1)</f>
        <v>3305</v>
      </c>
      <c r="H138" s="5" t="n">
        <f>G138*10000</f>
        <v>33050000</v>
      </c>
    </row>
    <row r="139" ht="18" customHeight="1">
      <c r="A139" s="19" t="s">
        <v>137</v>
      </c>
      <c r="B139" s="19" t="n">
        <v>25000</v>
      </c>
      <c r="D139" s="50" t="n">
        <v>8.64</v>
      </c>
      <c r="E139" s="51"/>
      <c r="F139" s="46" t="s">
        <f t="array" ref="F139">INDEX($D$1:$D$861,ROW()*2)</f>
        <v>138</v>
      </c>
      <c r="G139" s="46" t="n">
        <f t="array" ref="G139">INDEX($D$1:$D$861,ROW()*4-1)</f>
        <v>3284</v>
      </c>
      <c r="H139" s="5" t="n">
        <f>G139*10000</f>
        <v>32840000</v>
      </c>
    </row>
    <row r="140" ht="12.75" customHeight="1">
      <c r="A140" s="19" t="s">
        <v>138</v>
      </c>
      <c r="B140" s="19" t="n">
        <v>24900</v>
      </c>
      <c r="D140" s="47" t="s">
        <v>70</v>
      </c>
      <c r="E140" s="47"/>
      <c r="F140" s="46" t="s">
        <f t="array" ref="F140">INDEX($D$1:$D$861,ROW()*2)</f>
        <v>139</v>
      </c>
      <c r="G140" s="46" t="n">
        <f t="array" ref="G140">INDEX($D$1:$D$861,ROW()*4-1)</f>
        <v>3259</v>
      </c>
      <c r="H140" s="5" t="n">
        <f>G140*10000</f>
        <v>32590000</v>
      </c>
    </row>
    <row r="141" ht="18" customHeight="1">
      <c r="A141" s="19" t="s">
        <v>139</v>
      </c>
      <c r="B141" s="19" t="n">
        <v>24700</v>
      </c>
      <c r="D141" s="50" t="n">
        <v>8.61</v>
      </c>
      <c r="E141" s="51"/>
      <c r="F141" s="46" t="s">
        <f t="array" ref="F141">INDEX($D$1:$D$861,ROW()*2)</f>
        <v>140</v>
      </c>
      <c r="G141" s="46" t="n">
        <f t="array" ref="G141">INDEX($D$1:$D$861,ROW()*4-1)</f>
        <v>3070</v>
      </c>
      <c r="H141" s="5" t="n">
        <f>G141*10000</f>
        <v>30700000</v>
      </c>
    </row>
    <row r="142" ht="12.75" customHeight="1">
      <c r="A142" s="19" t="s">
        <v>140</v>
      </c>
      <c r="B142" s="19" t="n">
        <v>23400</v>
      </c>
      <c r="D142" s="47" t="s">
        <v>71</v>
      </c>
      <c r="E142" s="47"/>
      <c r="F142" s="46" t="s">
        <f t="array" ref="F142">INDEX($D$1:$D$861,ROW()*2)</f>
        <v>141</v>
      </c>
      <c r="G142" s="46" t="n">
        <f t="array" ref="G142">INDEX($D$1:$D$861,ROW()*4-1)</f>
        <v>2998</v>
      </c>
      <c r="H142" s="5" t="n">
        <f>G142*10000</f>
        <v>29980000</v>
      </c>
    </row>
    <row r="143" ht="18" customHeight="1">
      <c r="A143" s="19" t="s">
        <v>141</v>
      </c>
      <c r="B143" s="19" t="n">
        <v>22900</v>
      </c>
      <c r="D143" s="50" t="n">
        <v>8.42</v>
      </c>
      <c r="E143" s="51"/>
      <c r="F143" s="46" t="s">
        <f t="array" ref="F143">INDEX($D$1:$D$861,ROW()*2)</f>
        <v>142</v>
      </c>
      <c r="G143" s="46" t="n">
        <f t="array" ref="G143">INDEX($D$1:$D$861,ROW()*4-1)</f>
        <v>2924</v>
      </c>
      <c r="H143" s="5" t="n">
        <f>G143*10000</f>
        <v>29240000</v>
      </c>
    </row>
    <row r="144" ht="12.75" customHeight="1">
      <c r="A144" s="19" t="s">
        <v>142</v>
      </c>
      <c r="B144" s="19" t="n">
        <v>22100</v>
      </c>
      <c r="D144" s="47" t="s">
        <v>72</v>
      </c>
      <c r="E144" s="47"/>
      <c r="F144" s="46" t="s">
        <f t="array" ref="F144">INDEX($D$1:$D$861,ROW()*2)</f>
        <v>143</v>
      </c>
      <c r="G144" s="46" t="n">
        <f t="array" ref="G144">INDEX($D$1:$D$861,ROW()*4-1)</f>
        <v>2902</v>
      </c>
      <c r="H144" s="5" t="n">
        <f>G144*10000</f>
        <v>29020000</v>
      </c>
    </row>
    <row r="145" ht="18" customHeight="1">
      <c r="A145" s="19" t="s">
        <v>143</v>
      </c>
      <c r="B145" s="19" t="n">
        <v>22000</v>
      </c>
      <c r="D145" s="50" t="n">
        <v>8.4</v>
      </c>
      <c r="E145" s="51"/>
      <c r="F145" s="46" t="s">
        <f t="array" ref="F145">INDEX($D$1:$D$861,ROW()*2)</f>
        <v>144</v>
      </c>
      <c r="G145" s="46" t="n">
        <f t="array" ref="G145">INDEX($D$1:$D$861,ROW()*4-1)</f>
        <v>2880</v>
      </c>
      <c r="H145" s="5" t="n">
        <f>G145*10000</f>
        <v>28800000</v>
      </c>
    </row>
    <row r="146" ht="12.75" customHeight="1">
      <c r="A146" s="19" t="s">
        <v>144</v>
      </c>
      <c r="B146" s="19" t="n">
        <v>22000</v>
      </c>
      <c r="D146" s="47" t="s">
        <v>73</v>
      </c>
      <c r="E146" s="47"/>
      <c r="F146" s="46" t="s">
        <f t="array" ref="F146">INDEX($D$1:$D$861,ROW()*2)</f>
        <v>145</v>
      </c>
      <c r="G146" s="46" t="n">
        <f t="array" ref="G146">INDEX($D$1:$D$861,ROW()*4-1)</f>
        <v>2608</v>
      </c>
      <c r="H146" s="5" t="n">
        <f>G146*10000</f>
        <v>26080000</v>
      </c>
    </row>
    <row r="147" ht="18" customHeight="1">
      <c r="A147" s="19" t="s">
        <v>145</v>
      </c>
      <c r="B147" s="19" t="n">
        <v>21900</v>
      </c>
      <c r="D147" s="50" t="n">
        <v>8.38</v>
      </c>
      <c r="E147" s="51"/>
      <c r="F147" s="46" t="s">
        <f t="array" ref="F147">INDEX($D$1:$D$861,ROW()*2)</f>
        <v>146</v>
      </c>
      <c r="G147" s="46" t="n">
        <f t="array" ref="G147">INDEX($D$1:$D$861,ROW()*4-1)</f>
        <v>2595</v>
      </c>
      <c r="H147" s="5" t="n">
        <f>G147*10000</f>
        <v>25950000</v>
      </c>
    </row>
    <row r="148" ht="12.75" customHeight="1">
      <c r="A148" s="19" t="s">
        <v>146</v>
      </c>
      <c r="B148" s="19" t="n">
        <v>21800</v>
      </c>
      <c r="D148" s="47" t="s">
        <v>74</v>
      </c>
      <c r="E148" s="47"/>
      <c r="F148" s="46" t="s">
        <f t="array" ref="F148">INDEX($D$1:$D$861,ROW()*2)</f>
        <v>147</v>
      </c>
      <c r="G148" s="46" t="n">
        <f t="array" ref="G148">INDEX($D$1:$D$861,ROW()*4-1)</f>
        <v>2423</v>
      </c>
      <c r="H148" s="5" t="n">
        <f>G148*10000</f>
        <v>24230000</v>
      </c>
    </row>
    <row r="149" ht="18" customHeight="1">
      <c r="A149" s="19" t="s">
        <v>147</v>
      </c>
      <c r="B149" s="19" t="n">
        <v>21800</v>
      </c>
      <c r="D149" s="50" t="n">
        <v>8.06</v>
      </c>
      <c r="E149" s="51"/>
      <c r="F149" s="46" t="s">
        <f t="array" ref="F149">INDEX($D$1:$D$861,ROW()*2)</f>
        <v>148</v>
      </c>
      <c r="G149" s="46" t="n">
        <f t="array" ref="G149">INDEX($D$1:$D$861,ROW()*4-1)</f>
        <v>2281</v>
      </c>
      <c r="H149" s="5" t="n">
        <f>G149*10000</f>
        <v>22810000</v>
      </c>
    </row>
    <row r="150" ht="12.75" customHeight="1">
      <c r="A150" s="19" t="s">
        <v>148</v>
      </c>
      <c r="B150" s="19" t="n">
        <v>21400</v>
      </c>
      <c r="D150" s="47" t="s">
        <v>75</v>
      </c>
      <c r="E150" s="47"/>
      <c r="F150" s="46" t="s">
        <f t="array" ref="F150">INDEX($D$1:$D$861,ROW()*2)</f>
        <v>149</v>
      </c>
      <c r="G150" s="46" t="n">
        <f t="array" ref="G150">INDEX($D$1:$D$861,ROW()*4-1)</f>
        <v>2145</v>
      </c>
      <c r="H150" s="5" t="n">
        <f>G150*10000</f>
        <v>21450000</v>
      </c>
    </row>
    <row r="151" ht="18" customHeight="1">
      <c r="A151" s="19" t="s">
        <v>149</v>
      </c>
      <c r="B151" s="19" t="n">
        <v>21300</v>
      </c>
      <c r="D151" s="50" t="n">
        <v>7.77</v>
      </c>
      <c r="E151" s="51"/>
      <c r="F151" s="46" t="s">
        <f t="array" ref="F151">INDEX($D$1:$D$861,ROW()*2)</f>
        <v>150</v>
      </c>
      <c r="G151" s="46" t="n">
        <f t="array" ref="G151">INDEX($D$1:$D$861,ROW()*4-1)</f>
        <v>2122</v>
      </c>
      <c r="H151" s="5" t="n">
        <f>G151*10000</f>
        <v>21220000</v>
      </c>
    </row>
    <row r="152" ht="12.75" customHeight="1">
      <c r="A152" s="19" t="s">
        <v>150</v>
      </c>
      <c r="B152" s="19" t="n">
        <v>21100</v>
      </c>
      <c r="D152" s="47" t="s">
        <v>76</v>
      </c>
      <c r="E152" s="47"/>
      <c r="F152" s="46" t="s">
        <f t="array" ref="F152">INDEX($D$1:$D$861,ROW()*2)</f>
        <v>151</v>
      </c>
      <c r="G152" s="46" t="n">
        <f t="array" ref="G152">INDEX($D$1:$D$861,ROW()*4-1)</f>
        <v>2077</v>
      </c>
      <c r="H152" s="5" t="n">
        <f>G152*10000</f>
        <v>20770000</v>
      </c>
    </row>
    <row r="153" ht="18" customHeight="1">
      <c r="A153" s="19" t="s">
        <v>151</v>
      </c>
      <c r="B153" s="19" t="n">
        <v>20600</v>
      </c>
      <c r="D153" s="50" t="n">
        <v>7.69</v>
      </c>
      <c r="E153" s="51"/>
      <c r="F153" s="46" t="s">
        <f t="array" ref="F153">INDEX($D$1:$D$861,ROW()*2)</f>
        <v>152</v>
      </c>
      <c r="G153" s="46" t="n">
        <f t="array" ref="G153">INDEX($D$1:$D$861,ROW()*4-1)</f>
        <v>1962</v>
      </c>
      <c r="H153" s="5" t="n">
        <f>G153*10000</f>
        <v>19620000</v>
      </c>
    </row>
    <row r="154" ht="12.75" customHeight="1">
      <c r="A154" s="19" t="s">
        <v>152</v>
      </c>
      <c r="B154" s="19" t="n">
        <v>20400</v>
      </c>
      <c r="D154" s="47" t="s">
        <v>77</v>
      </c>
      <c r="E154" s="47"/>
      <c r="F154" s="46" t="n">
        <f t="array" ref="F154">INDEX($D$1:$D$861,ROW()*2)</f>
        <v>18</v>
      </c>
      <c r="G154" s="46" t="n">
        <f t="array" ref="G154">INDEX($D$1:$D$861,ROW()*4-1)</f>
        <v>1922</v>
      </c>
      <c r="H154" s="5" t="n">
        <f>G154*10000</f>
        <v>19220000</v>
      </c>
    </row>
    <row r="155" ht="18" customHeight="1">
      <c r="A155" s="19" t="n">
        <v>18</v>
      </c>
      <c r="B155" s="19" t="n">
        <v>20200</v>
      </c>
      <c r="D155" s="50" t="n">
        <v>7.5</v>
      </c>
      <c r="E155" s="51"/>
      <c r="F155" s="46" t="s">
        <f t="array" ref="F155">INDEX($D$1:$D$861,ROW()*2)</f>
        <v>153</v>
      </c>
      <c r="G155" s="46" t="n">
        <f t="array" ref="G155">INDEX($D$1:$D$861,ROW()*4-1)</f>
        <v>1896</v>
      </c>
      <c r="H155" s="5" t="n">
        <f>G155*10000</f>
        <v>18960000</v>
      </c>
    </row>
    <row r="156" ht="12.75" customHeight="1">
      <c r="A156" s="19" t="s">
        <v>153</v>
      </c>
      <c r="B156" s="19" t="n">
        <v>20200</v>
      </c>
      <c r="D156" s="47" t="s">
        <v>78</v>
      </c>
      <c r="E156" s="47"/>
      <c r="F156" s="46" t="s">
        <f t="array" ref="F156">INDEX($D$1:$D$861,ROW()*2)</f>
        <v>154</v>
      </c>
      <c r="G156" s="46" t="n">
        <f t="array" ref="G156">INDEX($D$1:$D$861,ROW()*4-1)</f>
        <v>1812</v>
      </c>
      <c r="H156" s="5" t="n">
        <f>G156*10000</f>
        <v>18120000</v>
      </c>
    </row>
    <row r="157" ht="18" customHeight="1">
      <c r="A157" s="19" t="s">
        <v>154</v>
      </c>
      <c r="B157" s="19" t="n">
        <v>20100</v>
      </c>
      <c r="D157" s="50" t="n">
        <v>7.35</v>
      </c>
      <c r="E157" s="51"/>
      <c r="F157" s="46" t="s">
        <f t="array" ref="F157">INDEX($D$1:$D$861,ROW()*2)</f>
        <v>155</v>
      </c>
      <c r="G157" s="46" t="n">
        <f t="array" ref="G157">INDEX($D$1:$D$861,ROW()*4-1)</f>
        <v>1768</v>
      </c>
      <c r="H157" s="5" t="n">
        <f>G157*10000</f>
        <v>17680000</v>
      </c>
    </row>
    <row r="158" ht="12.75" customHeight="1">
      <c r="A158" s="19" t="s">
        <v>155</v>
      </c>
      <c r="B158" s="19" t="n">
        <v>20100</v>
      </c>
      <c r="D158" s="47" t="s">
        <v>79</v>
      </c>
      <c r="E158" s="47"/>
      <c r="F158" s="46" t="s">
        <f t="array" ref="F158">INDEX($D$1:$D$861,ROW()*2)</f>
        <v>156</v>
      </c>
      <c r="G158" s="46" t="n">
        <f t="array" ref="G158">INDEX($D$1:$D$861,ROW()*4-1)</f>
        <v>1695</v>
      </c>
      <c r="H158" s="5" t="n">
        <f>G158*10000</f>
        <v>16950000</v>
      </c>
    </row>
    <row r="159" ht="18" customHeight="1">
      <c r="A159" s="19" t="s">
        <v>156</v>
      </c>
      <c r="B159" s="19" t="n">
        <v>19200</v>
      </c>
      <c r="D159" s="50" t="n">
        <v>7</v>
      </c>
      <c r="E159" s="51"/>
      <c r="F159" s="46" t="s">
        <f t="array" ref="F159">INDEX($D$1:$D$861,ROW()*2)</f>
        <v>157</v>
      </c>
      <c r="G159" s="46" t="n">
        <f t="array" ref="G159">INDEX($D$1:$D$861,ROW()*4-1)</f>
        <v>1628</v>
      </c>
      <c r="H159" s="5" t="n">
        <f>G159*10000</f>
        <v>16280000</v>
      </c>
    </row>
    <row r="160" ht="12.75" customHeight="1">
      <c r="A160" s="19" t="s">
        <v>157</v>
      </c>
      <c r="B160" s="19" t="n">
        <v>18900</v>
      </c>
      <c r="D160" s="47" t="s">
        <v>80</v>
      </c>
      <c r="E160" s="47"/>
      <c r="F160" s="46" t="s">
        <f t="array" ref="F160">INDEX($D$1:$D$861,ROW()*2)</f>
        <v>158</v>
      </c>
      <c r="G160" s="46" t="n">
        <f t="array" ref="G160">INDEX($D$1:$D$861,ROW()*4-1)</f>
        <v>1552</v>
      </c>
      <c r="H160" s="5" t="n">
        <f>G160*10000</f>
        <v>15520000</v>
      </c>
    </row>
    <row r="161" ht="18" customHeight="1">
      <c r="A161" s="19" t="s">
        <v>158</v>
      </c>
      <c r="B161" s="19" t="n">
        <v>18700</v>
      </c>
      <c r="D161" s="50" t="n">
        <v>7</v>
      </c>
      <c r="E161" s="51"/>
      <c r="F161" s="46" t="s">
        <f t="array" ref="F161">INDEX($D$1:$D$861,ROW()*2)</f>
        <v>159</v>
      </c>
      <c r="G161" s="46" t="n">
        <f t="array" ref="G161">INDEX($D$1:$D$861,ROW()*4-1)</f>
        <v>1457</v>
      </c>
      <c r="H161" s="5" t="n">
        <f>G161*10000</f>
        <v>14570000</v>
      </c>
    </row>
    <row r="162" ht="12.75" customHeight="1">
      <c r="A162" s="19" t="s">
        <v>159</v>
      </c>
      <c r="B162" s="19" t="n">
        <v>18300</v>
      </c>
      <c r="D162" s="47" t="s">
        <v>81</v>
      </c>
      <c r="E162" s="47"/>
      <c r="F162" s="46" t="s">
        <f t="array" ref="F162">INDEX($D$1:$D$861,ROW()*2)</f>
        <v>160</v>
      </c>
      <c r="G162" s="46" t="n">
        <f t="array" ref="G162">INDEX($D$1:$D$861,ROW()*4-1)</f>
        <v>1442</v>
      </c>
      <c r="H162" s="5" t="n">
        <f>G162*10000</f>
        <v>14420000</v>
      </c>
    </row>
    <row r="163" ht="18" customHeight="1">
      <c r="A163" s="19" t="s">
        <v>160</v>
      </c>
      <c r="B163" s="19" t="n">
        <v>18300</v>
      </c>
      <c r="D163" s="50" t="n">
        <v>6.95</v>
      </c>
      <c r="E163" s="51"/>
      <c r="F163" s="46" t="s">
        <f t="array" ref="F163">INDEX($D$1:$D$861,ROW()*2)</f>
        <v>161</v>
      </c>
      <c r="G163" s="46" t="n">
        <f t="array" ref="G163">INDEX($D$1:$D$861,ROW()*4-1)</f>
        <v>1375</v>
      </c>
      <c r="H163" s="5" t="n">
        <f>G163*10000</f>
        <v>13750000</v>
      </c>
    </row>
    <row r="164" ht="12.75" customHeight="1">
      <c r="A164" s="19" t="s">
        <v>161</v>
      </c>
      <c r="B164" s="19" t="n">
        <v>17900</v>
      </c>
      <c r="D164" s="47" t="s">
        <v>82</v>
      </c>
      <c r="E164" s="47"/>
      <c r="F164" s="46" t="s">
        <f t="array" ref="F164">INDEX($D$1:$D$861,ROW()*2)</f>
        <v>162</v>
      </c>
      <c r="G164" s="46" t="n">
        <f t="array" ref="G164">INDEX($D$1:$D$861,ROW()*4-1)</f>
        <v>1340</v>
      </c>
      <c r="H164" s="5" t="n">
        <f>G164*10000</f>
        <v>13400000</v>
      </c>
    </row>
    <row r="165" ht="18" customHeight="1">
      <c r="A165" s="19" t="s">
        <v>162</v>
      </c>
      <c r="B165" s="19" t="n">
        <v>17900</v>
      </c>
      <c r="D165" s="50" t="n">
        <v>6.94</v>
      </c>
      <c r="E165" s="51"/>
      <c r="F165" s="46" t="s">
        <f t="array" ref="F165">INDEX($D$1:$D$861,ROW()*2)</f>
        <v>163</v>
      </c>
      <c r="G165" s="46" t="n">
        <f t="array" ref="G165">INDEX($D$1:$D$861,ROW()*4-1)</f>
        <v>1332</v>
      </c>
      <c r="H165" s="5" t="n">
        <f>G165*10000</f>
        <v>13320000</v>
      </c>
    </row>
    <row r="166" ht="12.75" customHeight="1">
      <c r="A166" s="19" t="s">
        <v>163</v>
      </c>
      <c r="B166" s="19" t="n">
        <v>17700</v>
      </c>
      <c r="D166" s="47" t="s">
        <v>83</v>
      </c>
      <c r="E166" s="47"/>
      <c r="F166" s="46" t="s">
        <f t="array" ref="F166">INDEX($D$1:$D$861,ROW()*2)</f>
        <v>164</v>
      </c>
      <c r="G166" s="46" t="n">
        <f t="array" ref="G166">INDEX($D$1:$D$861,ROW()*4-1)</f>
        <v>1243</v>
      </c>
      <c r="H166" s="5" t="n">
        <f>G166*10000</f>
        <v>12430000</v>
      </c>
    </row>
    <row r="167" ht="18" customHeight="1">
      <c r="A167" s="19" t="s">
        <v>164</v>
      </c>
      <c r="B167" s="19" t="n">
        <v>17300</v>
      </c>
      <c r="D167" s="50" t="n">
        <v>6.84</v>
      </c>
      <c r="E167" s="51"/>
      <c r="F167" s="46" t="s">
        <f t="array" ref="F167">INDEX($D$1:$D$861,ROW()*2)</f>
        <v>165</v>
      </c>
      <c r="G167" s="46" t="n">
        <f t="array" ref="G167">INDEX($D$1:$D$861,ROW()*4-1)</f>
        <v>1078</v>
      </c>
      <c r="H167" s="5" t="n">
        <f>G167*10000</f>
        <v>10780000</v>
      </c>
    </row>
    <row r="168" ht="12.75" customHeight="1">
      <c r="A168" s="19" t="s">
        <v>165</v>
      </c>
      <c r="B168" s="19" t="n">
        <v>17100</v>
      </c>
      <c r="D168" s="47" t="s">
        <v>84</v>
      </c>
      <c r="E168" s="47"/>
      <c r="F168" s="46" t="s">
        <f t="array" ref="F168">INDEX($D$1:$D$861,ROW()*2)</f>
        <v>166</v>
      </c>
      <c r="G168" s="46" t="n">
        <f t="array" ref="G168">INDEX($D$1:$D$861,ROW()*4-1)</f>
        <v>1040</v>
      </c>
      <c r="H168" s="5" t="n">
        <f>G168*10000</f>
        <v>10400000</v>
      </c>
    </row>
    <row r="169" ht="18" customHeight="1">
      <c r="A169" s="19" t="s">
        <v>166</v>
      </c>
      <c r="B169" s="19" t="n">
        <v>17100</v>
      </c>
      <c r="D169" s="50" t="n">
        <v>6.7</v>
      </c>
      <c r="E169" s="51"/>
      <c r="F169" s="46" t="s">
        <f t="array" ref="F169">INDEX($D$1:$D$861,ROW()*2)</f>
        <v>167</v>
      </c>
      <c r="G169" s="46" t="n">
        <f t="array" ref="G169">INDEX($D$1:$D$861,ROW()*4-1)</f>
        <v>1016</v>
      </c>
      <c r="H169" s="5" t="n">
        <f>G169*10000</f>
        <v>10160000</v>
      </c>
    </row>
    <row r="170" ht="12.75" customHeight="1">
      <c r="A170" s="19" t="s">
        <v>167</v>
      </c>
      <c r="B170" s="19" t="n">
        <v>17000</v>
      </c>
      <c r="D170" s="47" t="s">
        <v>85</v>
      </c>
      <c r="E170" s="47"/>
      <c r="F170" s="46" t="s">
        <f t="array" ref="F170">INDEX($D$1:$D$861,ROW()*2)</f>
        <v>168</v>
      </c>
      <c r="G170" s="46" t="n">
        <f t="array" ref="G170">INDEX($D$1:$D$861,ROW()*4-1)</f>
        <v>965</v>
      </c>
      <c r="H170" s="5" t="n">
        <f>G170*10000</f>
        <v>9650000</v>
      </c>
    </row>
    <row r="171" ht="18" customHeight="1">
      <c r="A171" s="19" t="s">
        <v>168</v>
      </c>
      <c r="B171" s="19" t="n">
        <v>16600</v>
      </c>
      <c r="D171" s="50" t="n">
        <v>6.59</v>
      </c>
      <c r="E171" s="51"/>
      <c r="F171" s="46" t="s">
        <f t="array" ref="F171">INDEX($D$1:$D$861,ROW()*2)</f>
        <v>169</v>
      </c>
      <c r="G171" s="46" t="n">
        <f t="array" ref="G171">INDEX($D$1:$D$861,ROW()*4-1)</f>
        <v>932</v>
      </c>
      <c r="H171" s="5" t="n">
        <f>G171*10000</f>
        <v>9320000</v>
      </c>
    </row>
    <row r="172" ht="12.75" customHeight="1">
      <c r="A172" s="19" t="s">
        <v>169</v>
      </c>
      <c r="B172" s="19" t="n">
        <v>16600</v>
      </c>
      <c r="D172" s="47" t="s">
        <v>86</v>
      </c>
      <c r="E172" s="47"/>
      <c r="F172" s="46" t="s">
        <f t="array" ref="F172">INDEX($D$1:$D$861,ROW()*2)</f>
        <v>170</v>
      </c>
      <c r="G172" s="46" t="n">
        <f t="array" ref="G172">INDEX($D$1:$D$861,ROW()*4-1)</f>
        <v>888</v>
      </c>
      <c r="H172" s="5" t="n">
        <f>G172*10000</f>
        <v>8880000</v>
      </c>
    </row>
    <row r="173" ht="18" customHeight="1">
      <c r="A173" s="19" t="s">
        <v>170</v>
      </c>
      <c r="B173" s="19" t="n">
        <v>16600</v>
      </c>
      <c r="D173" s="50" t="n">
        <v>6.49</v>
      </c>
      <c r="E173" s="51"/>
      <c r="F173" s="46" t="s">
        <f t="array" ref="F173">INDEX($D$1:$D$861,ROW()*2)</f>
        <v>171</v>
      </c>
      <c r="G173" s="46" t="n">
        <f t="array" ref="G173">INDEX($D$1:$D$861,ROW()*4-1)</f>
        <v>863</v>
      </c>
      <c r="H173" s="5" t="n">
        <f>G173*10000</f>
        <v>8630000</v>
      </c>
    </row>
    <row r="174" ht="12.75" customHeight="1">
      <c r="A174" s="19" t="s">
        <v>171</v>
      </c>
      <c r="B174" s="19" t="n">
        <v>16600</v>
      </c>
      <c r="D174" s="47" t="s">
        <v>87</v>
      </c>
      <c r="E174" s="47"/>
      <c r="F174" s="46" t="s">
        <f t="array" ref="F174">INDEX($D$1:$D$861,ROW()*2)</f>
        <v>172</v>
      </c>
      <c r="G174" s="46" t="n">
        <f t="array" ref="G174">INDEX($D$1:$D$861,ROW()*4-1)</f>
        <v>854</v>
      </c>
      <c r="H174" s="5" t="n">
        <f>G174*10000</f>
        <v>8540000</v>
      </c>
    </row>
    <row r="175" ht="18" customHeight="1">
      <c r="A175" s="19" t="s">
        <v>172</v>
      </c>
      <c r="B175" s="19" t="n">
        <v>16400</v>
      </c>
      <c r="D175" s="50" t="n">
        <v>6.45</v>
      </c>
      <c r="E175" s="51"/>
      <c r="F175" s="46" t="s">
        <f t="array" ref="F175">INDEX($D$1:$D$861,ROW()*2)</f>
        <v>173</v>
      </c>
      <c r="G175" s="46" t="n">
        <f t="array" ref="G175">INDEX($D$1:$D$861,ROW()*4-1)</f>
        <v>827</v>
      </c>
      <c r="H175" s="5" t="n">
        <f>G175*10000</f>
        <v>8270000</v>
      </c>
    </row>
    <row r="176" ht="12.75" customHeight="1">
      <c r="A176" s="19" t="s">
        <v>173</v>
      </c>
      <c r="B176" s="19" t="n">
        <v>16000</v>
      </c>
      <c r="D176" s="47" t="s">
        <v>88</v>
      </c>
      <c r="E176" s="47"/>
      <c r="F176" s="46" t="s">
        <f t="array" ref="F176">INDEX($D$1:$D$861,ROW()*2)</f>
        <v>174</v>
      </c>
      <c r="G176" s="46" t="n">
        <f t="array" ref="G176">INDEX($D$1:$D$861,ROW()*4-1)</f>
        <v>812</v>
      </c>
      <c r="H176" s="5" t="n">
        <f>G176*10000</f>
        <v>8120000</v>
      </c>
    </row>
    <row r="177" ht="18" customHeight="1">
      <c r="A177" s="19" t="s">
        <v>174</v>
      </c>
      <c r="B177" s="19" t="n">
        <v>15500</v>
      </c>
      <c r="D177" s="50" t="n">
        <v>6.44</v>
      </c>
      <c r="E177" s="51"/>
      <c r="F177" s="46" t="s">
        <f t="array" ref="F177">INDEX($D$1:$D$861,ROW()*2)</f>
        <v>175</v>
      </c>
      <c r="G177" s="46" t="n">
        <f t="array" ref="G177">INDEX($D$1:$D$861,ROW()*4-1)</f>
        <v>800</v>
      </c>
      <c r="H177" s="5" t="n">
        <f>G177*10000</f>
        <v>8000000</v>
      </c>
    </row>
    <row r="178" ht="12.75" customHeight="1">
      <c r="A178" s="19" t="s">
        <v>175</v>
      </c>
      <c r="B178" s="19" t="n">
        <v>15500</v>
      </c>
      <c r="D178" s="47" t="s">
        <v>89</v>
      </c>
      <c r="E178" s="47"/>
      <c r="F178" s="46" t="s">
        <f t="array" ref="F178">INDEX($D$1:$D$861,ROW()*2)</f>
        <v>176</v>
      </c>
      <c r="G178" s="46" t="n">
        <f t="array" ref="G178">INDEX($D$1:$D$861,ROW()*4-1)</f>
        <v>800</v>
      </c>
      <c r="H178" s="5" t="n">
        <f>G178*10000</f>
        <v>8000000</v>
      </c>
    </row>
    <row r="179" ht="18" customHeight="1">
      <c r="A179" s="19" t="s">
        <v>176</v>
      </c>
      <c r="B179" s="19" t="n">
        <v>15400</v>
      </c>
      <c r="D179" s="50" t="n">
        <v>6.43</v>
      </c>
      <c r="E179" s="51"/>
      <c r="F179" s="46" t="s">
        <f t="array" ref="F179">INDEX($D$1:$D$861,ROW()*2)</f>
        <v>177</v>
      </c>
      <c r="G179" s="46" t="n">
        <f t="array" ref="G179">INDEX($D$1:$D$861,ROW()*4-1)</f>
        <v>800</v>
      </c>
      <c r="H179" s="5" t="n">
        <f>G179*10000</f>
        <v>8000000</v>
      </c>
    </row>
    <row r="180" ht="12.75" customHeight="1">
      <c r="A180" s="19" t="s">
        <v>177</v>
      </c>
      <c r="B180" s="19" t="n">
        <v>15300</v>
      </c>
      <c r="D180" s="47" t="s">
        <v>90</v>
      </c>
      <c r="E180" s="47"/>
      <c r="F180" s="46" t="s">
        <f t="array" ref="F180">INDEX($D$1:$D$861,ROW()*2)</f>
        <v>178</v>
      </c>
      <c r="G180" s="46" t="n">
        <f t="array" ref="G180">INDEX($D$1:$D$861,ROW()*4-1)</f>
        <v>776</v>
      </c>
      <c r="H180" s="5" t="n">
        <f>G180*10000</f>
        <v>7760000</v>
      </c>
    </row>
    <row r="181" ht="18" customHeight="1">
      <c r="A181" s="19" t="s">
        <v>178</v>
      </c>
      <c r="B181" s="19" t="n">
        <v>15300</v>
      </c>
      <c r="D181" s="50" t="n">
        <v>6.38</v>
      </c>
      <c r="E181" s="51"/>
      <c r="F181" s="46" t="s">
        <f t="array" ref="F181">INDEX($D$1:$D$861,ROW()*2)</f>
        <v>179</v>
      </c>
      <c r="G181" s="46" t="n">
        <f t="array" ref="G181">INDEX($D$1:$D$861,ROW()*4-1)</f>
        <v>755</v>
      </c>
      <c r="H181" s="5" t="n">
        <f>G181*10000</f>
        <v>7550000</v>
      </c>
    </row>
    <row r="182" ht="12.75" customHeight="1">
      <c r="A182" s="19" t="s">
        <v>179</v>
      </c>
      <c r="B182" s="19" t="n">
        <v>14900</v>
      </c>
      <c r="D182" s="47" t="s">
        <v>91</v>
      </c>
      <c r="E182" s="47"/>
      <c r="F182" s="46" t="s">
        <f t="array" ref="F182">INDEX($D$1:$D$861,ROW()*2)</f>
        <v>180</v>
      </c>
      <c r="G182" s="46" t="n">
        <f t="array" ref="G182">INDEX($D$1:$D$861,ROW()*4-1)</f>
        <v>752</v>
      </c>
      <c r="H182" s="5" t="n">
        <f>G182*10000</f>
        <v>7520000</v>
      </c>
    </row>
    <row r="183" ht="18" customHeight="1">
      <c r="A183" s="19" t="s">
        <v>180</v>
      </c>
      <c r="B183" s="19" t="n">
        <v>14800</v>
      </c>
      <c r="D183" s="50" t="n">
        <v>6.27</v>
      </c>
      <c r="E183" s="51"/>
      <c r="F183" s="46" t="s">
        <f t="array" ref="F183">INDEX($D$1:$D$861,ROW()*2)</f>
        <v>181</v>
      </c>
      <c r="G183" s="46" t="n">
        <f t="array" ref="G183">INDEX($D$1:$D$861,ROW()*4-1)</f>
        <v>724</v>
      </c>
      <c r="H183" s="5" t="n">
        <f>G183*10000</f>
        <v>7240000</v>
      </c>
    </row>
    <row r="184" ht="12.75" customHeight="1">
      <c r="A184" s="19" t="s">
        <v>181</v>
      </c>
      <c r="B184" s="19" t="n">
        <v>14600</v>
      </c>
      <c r="D184" s="47" t="s">
        <v>92</v>
      </c>
      <c r="E184" s="47"/>
      <c r="F184" s="46" t="s">
        <f t="array" ref="F184">INDEX($D$1:$D$861,ROW()*2)</f>
        <v>182</v>
      </c>
      <c r="G184" s="46" t="n">
        <f t="array" ref="G184">INDEX($D$1:$D$861,ROW()*4-1)</f>
        <v>701</v>
      </c>
      <c r="H184" s="5" t="n">
        <f>G184*10000</f>
        <v>7010000</v>
      </c>
    </row>
    <row r="185" ht="18" customHeight="1">
      <c r="A185" s="19" t="s">
        <v>182</v>
      </c>
      <c r="B185" s="19" t="n">
        <v>14500</v>
      </c>
      <c r="D185" s="50" t="n">
        <v>6.24</v>
      </c>
      <c r="E185" s="51"/>
      <c r="F185" s="46" t="s">
        <f t="array" ref="F185">INDEX($D$1:$D$861,ROW()*2)</f>
        <v>183</v>
      </c>
      <c r="G185" s="46" t="n">
        <f t="array" ref="G185">INDEX($D$1:$D$861,ROW()*4-1)</f>
        <v>697</v>
      </c>
      <c r="H185" s="5" t="n">
        <f>G185*10000</f>
        <v>6970000</v>
      </c>
    </row>
    <row r="186" ht="12.75" customHeight="1">
      <c r="A186" s="19" t="s">
        <v>183</v>
      </c>
      <c r="B186" s="19" t="n">
        <v>14400</v>
      </c>
      <c r="D186" s="47" t="s">
        <v>93</v>
      </c>
      <c r="E186" s="47"/>
      <c r="F186" s="46" t="s">
        <f t="array" ref="F186">INDEX($D$1:$D$861,ROW()*2)</f>
        <v>184</v>
      </c>
      <c r="G186" s="46" t="n">
        <f t="array" ref="G186">INDEX($D$1:$D$861,ROW()*4-1)</f>
        <v>653</v>
      </c>
      <c r="H186" s="5" t="n">
        <f>G186*10000</f>
        <v>6530000</v>
      </c>
    </row>
    <row r="187" ht="18" customHeight="1">
      <c r="A187" s="19" t="s">
        <v>184</v>
      </c>
      <c r="B187" s="19" t="n">
        <v>14300</v>
      </c>
      <c r="D187" s="50" t="n">
        <v>6</v>
      </c>
      <c r="E187" s="51"/>
      <c r="F187" s="46" t="s">
        <f t="array" ref="F187">INDEX($D$1:$D$861,ROW()*2)</f>
        <v>185</v>
      </c>
      <c r="G187" s="46" t="n">
        <f t="array" ref="G187">INDEX($D$1:$D$861,ROW()*4-1)</f>
        <v>644</v>
      </c>
      <c r="H187" s="5" t="n">
        <f>G187*10000</f>
        <v>6440000</v>
      </c>
    </row>
    <row r="188" ht="12.75" customHeight="1">
      <c r="A188" s="19" t="s">
        <v>185</v>
      </c>
      <c r="B188" s="19" t="n">
        <v>14200</v>
      </c>
      <c r="D188" s="47" t="s">
        <v>94</v>
      </c>
      <c r="E188" s="47"/>
      <c r="F188" s="46" t="s">
        <f t="array" ref="F188">INDEX($D$1:$D$861,ROW()*2)</f>
        <v>186</v>
      </c>
      <c r="G188" s="46" t="n">
        <f t="array" ref="G188">INDEX($D$1:$D$861,ROW()*4-1)</f>
        <v>638</v>
      </c>
      <c r="H188" s="5" t="n">
        <f>G188*10000</f>
        <v>6380000</v>
      </c>
    </row>
    <row r="189" ht="18" customHeight="1">
      <c r="A189" s="19" t="s">
        <v>186</v>
      </c>
      <c r="B189" s="19" t="n">
        <v>13700</v>
      </c>
      <c r="D189" s="50" t="n">
        <v>5.89</v>
      </c>
      <c r="E189" s="51"/>
      <c r="F189" s="46" t="s">
        <f t="array" ref="F189">INDEX($D$1:$D$861,ROW()*2)</f>
        <v>187</v>
      </c>
      <c r="G189" s="46" t="n">
        <f t="array" ref="G189">INDEX($D$1:$D$861,ROW()*4-1)</f>
        <v>623</v>
      </c>
      <c r="H189" s="5" t="n">
        <f>G189*10000</f>
        <v>6230000</v>
      </c>
    </row>
    <row r="190" ht="12.75" customHeight="1">
      <c r="A190" s="19" t="s">
        <v>187</v>
      </c>
      <c r="B190" s="19" t="n">
        <v>13700</v>
      </c>
      <c r="D190" s="47" t="s">
        <v>95</v>
      </c>
      <c r="E190" s="47"/>
      <c r="F190" s="46" t="s">
        <f t="array" ref="F190">INDEX($D$1:$D$861,ROW()*2)</f>
        <v>188</v>
      </c>
      <c r="G190" s="46" t="n">
        <f t="array" ref="G190">INDEX($D$1:$D$861,ROW()*4-1)</f>
        <v>611</v>
      </c>
      <c r="H190" s="5" t="n">
        <f>G190*10000</f>
        <v>6110000</v>
      </c>
    </row>
    <row r="191" ht="18" customHeight="1">
      <c r="A191" s="19" t="s">
        <v>188</v>
      </c>
      <c r="B191" s="19" t="n">
        <v>13300</v>
      </c>
      <c r="D191" s="50" t="n">
        <v>5.66</v>
      </c>
      <c r="E191" s="51"/>
      <c r="F191" s="46" t="s">
        <f t="array" ref="F191">INDEX($D$1:$D$861,ROW()*2)</f>
        <v>189</v>
      </c>
      <c r="G191" s="46" t="n">
        <f t="array" ref="G191">INDEX($D$1:$D$861,ROW()*4-1)</f>
        <v>598</v>
      </c>
      <c r="H191" s="5" t="n">
        <f>G191*10000</f>
        <v>5980000</v>
      </c>
    </row>
    <row r="192" ht="12.75" customHeight="1">
      <c r="A192" s="19" t="s">
        <v>189</v>
      </c>
      <c r="B192" s="19" t="n">
        <v>13200</v>
      </c>
      <c r="D192" s="47" t="n">
        <v>999</v>
      </c>
      <c r="E192" s="47"/>
      <c r="F192" s="46" t="s">
        <f t="array" ref="F192">INDEX($D$1:$D$861,ROW()*2)</f>
        <v>190</v>
      </c>
      <c r="G192" s="46" t="n">
        <f t="array" ref="G192">INDEX($D$1:$D$861,ROW()*4-1)</f>
        <v>593</v>
      </c>
      <c r="H192" s="5" t="n">
        <f>G192*10000</f>
        <v>5930000</v>
      </c>
    </row>
    <row r="193" ht="18" customHeight="1">
      <c r="A193" s="19" t="s">
        <v>190</v>
      </c>
      <c r="B193" s="19" t="n">
        <v>13200</v>
      </c>
      <c r="D193" s="50" t="n">
        <v>5.58</v>
      </c>
      <c r="E193" s="51"/>
      <c r="F193" s="46" t="s">
        <f t="array" ref="F193">INDEX($D$1:$D$861,ROW()*2)</f>
        <v>191</v>
      </c>
      <c r="G193" s="46" t="n">
        <f t="array" ref="G193">INDEX($D$1:$D$861,ROW()*4-1)</f>
        <v>593</v>
      </c>
      <c r="H193" s="5" t="n">
        <f>G193*10000</f>
        <v>5930000</v>
      </c>
    </row>
    <row r="194" ht="12.75" customHeight="1">
      <c r="A194" s="19" t="s">
        <v>191</v>
      </c>
      <c r="B194" s="19" t="n">
        <v>12500</v>
      </c>
      <c r="D194" s="47" t="s">
        <v>96</v>
      </c>
      <c r="E194" s="47"/>
      <c r="F194" s="46" t="s">
        <f t="array" ref="F194">INDEX($D$1:$D$861,ROW()*2)</f>
        <v>192</v>
      </c>
      <c r="G194" s="46" t="n">
        <f t="array" ref="G194">INDEX($D$1:$D$861,ROW()*4-1)</f>
        <v>584</v>
      </c>
      <c r="H194" s="5" t="n">
        <f>G194*10000</f>
        <v>5840000</v>
      </c>
    </row>
    <row r="195" ht="18" customHeight="1">
      <c r="A195" s="19" t="s">
        <v>192</v>
      </c>
      <c r="B195" s="19" t="n">
        <v>12000</v>
      </c>
      <c r="D195" s="50" t="n">
        <v>5.55</v>
      </c>
      <c r="E195" s="51"/>
      <c r="F195" s="46" t="s">
        <f t="array" ref="F195">INDEX($D$1:$D$861,ROW()*2)</f>
        <v>193</v>
      </c>
      <c r="G195" s="46" t="n">
        <f t="array" ref="G195">INDEX($D$1:$D$861,ROW()*4-1)</f>
        <v>563</v>
      </c>
      <c r="H195" s="5" t="n">
        <f>G195*10000</f>
        <v>5630000</v>
      </c>
    </row>
    <row r="196" ht="12.75" customHeight="1">
      <c r="A196" s="19" t="s">
        <v>193</v>
      </c>
      <c r="B196" s="19" t="n">
        <v>12000</v>
      </c>
      <c r="D196" s="47" t="s">
        <v>97</v>
      </c>
      <c r="E196" s="47"/>
      <c r="F196" s="46" t="s">
        <f t="array" ref="F196">INDEX($D$1:$D$861,ROW()*2)</f>
        <v>194</v>
      </c>
      <c r="G196" s="46" t="n">
        <f t="array" ref="G196">INDEX($D$1:$D$861,ROW()*4-1)</f>
        <v>560</v>
      </c>
      <c r="H196" s="5" t="n">
        <f>G196*10000</f>
        <v>5600000</v>
      </c>
    </row>
    <row r="197" ht="18" customHeight="1">
      <c r="A197" s="19" t="s">
        <v>194</v>
      </c>
      <c r="B197" s="19" t="n">
        <v>11900</v>
      </c>
      <c r="D197" s="50" t="n">
        <v>5.31</v>
      </c>
      <c r="E197" s="51"/>
      <c r="F197" s="46" t="s">
        <f t="array" ref="F197">INDEX($D$1:$D$861,ROW()*2)</f>
        <v>195</v>
      </c>
      <c r="G197" s="46" t="n">
        <f t="array" ref="G197">INDEX($D$1:$D$861,ROW()*4-1)</f>
        <v>554</v>
      </c>
      <c r="H197" s="5" t="n">
        <f>G197*10000</f>
        <v>5540000</v>
      </c>
    </row>
    <row r="198" ht="12.75" customHeight="1">
      <c r="A198" s="19" t="s">
        <v>195</v>
      </c>
      <c r="B198" s="19" t="n">
        <v>11800</v>
      </c>
      <c r="D198" s="47" t="s">
        <v>98</v>
      </c>
      <c r="E198" s="47"/>
      <c r="F198" s="46" t="s">
        <f t="array" ref="F198">INDEX($D$1:$D$861,ROW()*2)</f>
        <v>196</v>
      </c>
      <c r="G198" s="46" t="n">
        <f t="array" ref="G198">INDEX($D$1:$D$861,ROW()*4-1)</f>
        <v>536</v>
      </c>
      <c r="H198" s="5" t="n">
        <f>G198*10000</f>
        <v>5360000</v>
      </c>
    </row>
    <row r="199" ht="18" customHeight="1">
      <c r="A199" s="19" t="s">
        <v>196</v>
      </c>
      <c r="B199" s="19" t="n">
        <v>11800</v>
      </c>
      <c r="D199" s="50" t="n">
        <v>5.31</v>
      </c>
      <c r="E199" s="51"/>
      <c r="F199" s="46" t="s">
        <f t="array" ref="F199">INDEX($D$1:$D$861,ROW()*2)</f>
        <v>197</v>
      </c>
      <c r="G199" s="46" t="n">
        <f t="array" ref="G199">INDEX($D$1:$D$861,ROW()*4-1)</f>
        <v>530</v>
      </c>
      <c r="H199" s="5" t="n">
        <f>G199*10000</f>
        <v>5300000</v>
      </c>
    </row>
    <row r="200" ht="12.75" customHeight="1">
      <c r="A200" s="19" t="s">
        <v>197</v>
      </c>
      <c r="B200" s="19" t="n">
        <v>11600</v>
      </c>
      <c r="D200" s="47" t="s">
        <v>99</v>
      </c>
      <c r="E200" s="47"/>
      <c r="F200" s="46" t="s">
        <f t="array" ref="F200">INDEX($D$1:$D$861,ROW()*2)</f>
        <v>198</v>
      </c>
      <c r="G200" s="46" t="n">
        <f t="array" ref="G200">INDEX($D$1:$D$861,ROW()*4-1)</f>
        <v>520</v>
      </c>
      <c r="H200" s="5" t="n">
        <f>G200*10000</f>
        <v>5200000</v>
      </c>
    </row>
    <row r="201" ht="18" customHeight="1">
      <c r="A201" s="19" t="s">
        <v>198</v>
      </c>
      <c r="B201" s="19" t="n">
        <v>11600</v>
      </c>
      <c r="D201" s="50" t="n">
        <v>5.24</v>
      </c>
      <c r="E201" s="51"/>
      <c r="F201" s="46" t="s">
        <f t="array" ref="F201">INDEX($D$1:$D$861,ROW()*2)</f>
        <v>199</v>
      </c>
      <c r="G201" s="46" t="n">
        <f t="array" ref="G201">INDEX($D$1:$D$861,ROW()*4-1)</f>
        <v>509</v>
      </c>
      <c r="H201" s="5" t="n">
        <f>G201*10000</f>
        <v>5090000</v>
      </c>
    </row>
    <row r="202" ht="12.75" customHeight="1">
      <c r="A202" s="19" t="s">
        <v>199</v>
      </c>
      <c r="B202" s="19" t="n">
        <v>11500</v>
      </c>
      <c r="D202" s="47" t="s">
        <v>100</v>
      </c>
      <c r="E202" s="47"/>
      <c r="F202" s="46" t="s">
        <f t="array" ref="F202">INDEX($D$1:$D$861,ROW()*2)</f>
        <v>200</v>
      </c>
      <c r="G202" s="46" t="n">
        <f t="array" ref="G202">INDEX($D$1:$D$861,ROW()*4-1)</f>
        <v>503</v>
      </c>
      <c r="H202" s="5" t="n">
        <f>G202*10000</f>
        <v>5030000</v>
      </c>
    </row>
    <row r="203" ht="18" customHeight="1">
      <c r="A203" s="19" t="s">
        <v>200</v>
      </c>
      <c r="B203" s="19" t="n">
        <v>11100</v>
      </c>
      <c r="D203" s="50" t="n">
        <v>5.18</v>
      </c>
      <c r="E203" s="51"/>
      <c r="F203" s="46" t="s">
        <f t="array" ref="F203">INDEX($D$1:$D$861,ROW()*2)</f>
        <v>201</v>
      </c>
      <c r="G203" s="46" t="n">
        <f t="array" ref="G203">INDEX($D$1:$D$861,ROW()*4-1)</f>
        <v>503</v>
      </c>
      <c r="H203" s="5" t="n">
        <f>G203*10000</f>
        <v>5030000</v>
      </c>
    </row>
    <row r="204" ht="12.75" customHeight="1">
      <c r="A204" s="19" t="s">
        <v>201</v>
      </c>
      <c r="B204" s="19" t="n">
        <v>11100</v>
      </c>
      <c r="D204" s="47" t="s">
        <v>101</v>
      </c>
      <c r="E204" s="47"/>
      <c r="F204" s="46" t="s">
        <f t="array" ref="F204">INDEX($D$1:$D$861,ROW()*2)</f>
        <v>202</v>
      </c>
      <c r="G204" s="46" t="n">
        <f t="array" ref="G204">INDEX($D$1:$D$861,ROW()*4-1)</f>
        <v>415</v>
      </c>
      <c r="H204" s="5" t="n">
        <f>G204*10000</f>
        <v>4150000</v>
      </c>
    </row>
    <row r="205" ht="18" customHeight="1">
      <c r="A205" s="19" t="s">
        <v>202</v>
      </c>
      <c r="B205" s="19" t="n">
        <v>11000</v>
      </c>
      <c r="D205" s="50" t="n">
        <v>5.14</v>
      </c>
      <c r="E205" s="51"/>
      <c r="F205" s="46" t="s">
        <f t="array" ref="F205">INDEX($D$1:$D$861,ROW()*2)</f>
        <v>203</v>
      </c>
      <c r="G205" s="46" t="n">
        <f t="array" ref="G205">INDEX($D$1:$D$861,ROW()*4-1)</f>
        <v>344</v>
      </c>
      <c r="H205" s="5" t="n">
        <f>G205*10000</f>
        <v>3440000</v>
      </c>
    </row>
    <row r="206" ht="12.75" customHeight="1">
      <c r="A206" s="19" t="s">
        <v>203</v>
      </c>
      <c r="B206" s="19" t="n">
        <v>11000</v>
      </c>
      <c r="D206" s="47" t="s">
        <v>102</v>
      </c>
      <c r="E206" s="47"/>
      <c r="F206" s="46" t="s">
        <f t="array" ref="F206">INDEX($D$1:$D$861,ROW()*2)</f>
        <v>204</v>
      </c>
      <c r="G206" s="46" t="n">
        <f t="array" ref="G206">INDEX($D$1:$D$861,ROW()*4-1)</f>
        <v>295</v>
      </c>
      <c r="H206" s="5" t="n">
        <f>G206*10000</f>
        <v>2950000</v>
      </c>
    </row>
    <row r="207" ht="18" customHeight="1">
      <c r="A207" s="19" t="s">
        <v>204</v>
      </c>
      <c r="B207" s="19" t="n">
        <v>10900</v>
      </c>
      <c r="D207" s="50" t="n">
        <v>5.13</v>
      </c>
      <c r="E207" s="51"/>
      <c r="F207" s="46" t="s">
        <f t="array" ref="F207">INDEX($D$1:$D$861,ROW()*2)</f>
        <v>205</v>
      </c>
      <c r="G207" s="46" t="n">
        <f t="array" ref="G207">INDEX($D$1:$D$861,ROW()*4-1)</f>
        <v>284</v>
      </c>
      <c r="H207" s="5" t="n">
        <f>G207*10000</f>
        <v>2840000</v>
      </c>
    </row>
    <row r="208" ht="12.75" customHeight="1">
      <c r="A208" s="19" t="s">
        <v>205</v>
      </c>
      <c r="B208" s="19" t="n">
        <v>10900</v>
      </c>
      <c r="D208" s="47" t="s">
        <v>103</v>
      </c>
      <c r="E208" s="47"/>
      <c r="F208" s="46" t="s">
        <f t="array" ref="F208">INDEX($D$1:$D$861,ROW()*2)</f>
        <v>206</v>
      </c>
      <c r="G208" s="46" t="n">
        <f t="array" ref="G208">INDEX($D$1:$D$861,ROW()*4-1)</f>
        <v>265</v>
      </c>
      <c r="H208" s="5" t="n">
        <f>G208*10000</f>
        <v>2650000</v>
      </c>
    </row>
    <row r="209" ht="18" customHeight="1">
      <c r="A209" s="19" t="s">
        <v>206</v>
      </c>
      <c r="B209" s="19" t="n">
        <v>10600</v>
      </c>
      <c r="D209" s="50" t="n">
        <v>5</v>
      </c>
      <c r="E209" s="51"/>
      <c r="F209" s="46" t="s">
        <f t="array" ref="F209">INDEX($D$1:$D$861,ROW()*2)</f>
        <v>207</v>
      </c>
      <c r="G209" s="46" t="n">
        <f t="array" ref="G209">INDEX($D$1:$D$861,ROW()*4-1)</f>
        <v>245</v>
      </c>
      <c r="H209" s="5" t="n">
        <f>G209*10000</f>
        <v>2450000</v>
      </c>
    </row>
    <row r="210" ht="12.75" customHeight="1">
      <c r="A210" s="19" t="s">
        <v>207</v>
      </c>
      <c r="B210" s="19" t="n">
        <v>10500</v>
      </c>
      <c r="D210" s="47" t="s">
        <v>104</v>
      </c>
      <c r="E210" s="47"/>
      <c r="F210" s="46" t="s">
        <f t="array" ref="F210">INDEX($D$1:$D$861,ROW()*2)</f>
        <v>208</v>
      </c>
      <c r="G210" s="46" t="n">
        <f t="array" ref="G210">INDEX($D$1:$D$861,ROW()*4-1)</f>
        <v>215</v>
      </c>
      <c r="H210" s="5" t="n">
        <f>G210*10000</f>
        <v>2150000</v>
      </c>
    </row>
    <row r="211" ht="18" customHeight="1">
      <c r="A211" s="19" t="s">
        <v>208</v>
      </c>
      <c r="B211" s="19" t="n">
        <v>10400</v>
      </c>
      <c r="D211" s="50" t="n">
        <v>4.85</v>
      </c>
      <c r="E211" s="51"/>
      <c r="F211" s="46" t="s">
        <f t="array" ref="F211">INDEX($D$1:$D$861,ROW()*2)</f>
        <v>209</v>
      </c>
      <c r="G211" s="46" t="n">
        <f t="array" ref="G211">INDEX($D$1:$D$861,ROW()*4-1)</f>
        <v>215</v>
      </c>
      <c r="H211" s="5" t="n">
        <f>G211*10000</f>
        <v>2150000</v>
      </c>
    </row>
    <row r="212" ht="12.75" customHeight="1">
      <c r="A212" s="19" t="s">
        <v>209</v>
      </c>
      <c r="B212" s="19" t="n">
        <v>10400</v>
      </c>
      <c r="D212" s="47" t="s">
        <v>105</v>
      </c>
      <c r="E212" s="47"/>
      <c r="F212" s="46" t="s">
        <f t="array" ref="F212">INDEX($D$1:$D$861,ROW()*2)</f>
        <v>210</v>
      </c>
      <c r="G212" s="46" t="n">
        <f t="array" ref="G212">INDEX($D$1:$D$861,ROW()*4-1)</f>
        <v>190</v>
      </c>
      <c r="H212" s="5" t="n">
        <f>G212*10000</f>
        <v>1900000</v>
      </c>
    </row>
    <row r="213" ht="18" customHeight="1">
      <c r="A213" s="19" t="s">
        <v>210</v>
      </c>
      <c r="B213" s="19" t="n">
        <v>10400</v>
      </c>
      <c r="D213" s="50" t="n">
        <v>4.85</v>
      </c>
      <c r="E213" s="51"/>
      <c r="F213" s="46" t="s">
        <f t="array" ref="F213">INDEX($D$1:$D$861,ROW()*2)</f>
        <v>211</v>
      </c>
      <c r="G213" s="46" t="n">
        <f t="array" ref="G213">INDEX($D$1:$D$861,ROW()*4-1)</f>
        <v>172</v>
      </c>
      <c r="H213" s="5" t="n">
        <f>G213*10000</f>
        <v>1720000</v>
      </c>
    </row>
    <row r="214" ht="12.75" customHeight="1">
      <c r="A214" s="19" t="s">
        <v>211</v>
      </c>
      <c r="B214" s="19" t="n">
        <v>10300</v>
      </c>
      <c r="D214" s="47" t="s">
        <v>106</v>
      </c>
      <c r="E214" s="47"/>
      <c r="F214" s="46" t="s">
        <f t="array" ref="F214">INDEX($D$1:$D$861,ROW()*2)</f>
        <v>212</v>
      </c>
      <c r="G214" s="46" t="n">
        <f t="array" ref="G214">INDEX($D$1:$D$861,ROW()*4-1)</f>
        <v>154</v>
      </c>
      <c r="H214" s="5" t="n">
        <f>G214*10000</f>
        <v>1540000</v>
      </c>
    </row>
    <row r="215" ht="18" customHeight="1">
      <c r="A215" s="19" t="s">
        <v>212</v>
      </c>
      <c r="B215" s="19" t="n">
        <v>10200</v>
      </c>
      <c r="D215" s="50" t="n">
        <v>4.78</v>
      </c>
      <c r="E215" s="51"/>
      <c r="F215" s="46" t="s">
        <f t="array" ref="F215">INDEX($D$1:$D$861,ROW()*2)</f>
        <v>213</v>
      </c>
      <c r="G215" s="46" t="n">
        <f t="array" ref="G215">INDEX($D$1:$D$861,ROW()*4-1)</f>
        <v>126</v>
      </c>
      <c r="H215" s="5" t="n">
        <f>G215*10000</f>
        <v>1260000</v>
      </c>
    </row>
    <row r="216" ht="12.75" customHeight="1">
      <c r="A216" s="19" t="s">
        <v>213</v>
      </c>
      <c r="B216" s="19" t="n">
        <v>10100</v>
      </c>
      <c r="D216" s="47" t="s">
        <v>107</v>
      </c>
      <c r="E216" s="47"/>
      <c r="F216" s="46" t="s">
        <f t="array" ref="F216">INDEX($D$1:$D$861,ROW()*2)</f>
        <v>214</v>
      </c>
      <c r="G216" s="46" t="e">
        <f t="array" ref="G216">INDEX($D$1:$D$861,ROW()*4-1)</f>
        <v>#REF!</v>
      </c>
      <c r="H216" s="5" t="e">
        <f>G216*10000</f>
        <v>#REF!</v>
      </c>
    </row>
    <row r="217" ht="18" customHeight="1">
      <c r="A217" s="19" t="s">
        <v>214</v>
      </c>
      <c r="B217" s="19" t="n">
        <v>10100</v>
      </c>
      <c r="D217" s="50" t="n">
        <v>4.75</v>
      </c>
      <c r="E217" s="51"/>
      <c r="F217" s="46" t="s">
        <f t="array" ref="F217">INDEX($D$1:$D$861,ROW()*2)</f>
        <v>215</v>
      </c>
      <c r="G217" s="46" t="e">
        <f t="array" ref="G217">INDEX($D$1:$D$861,ROW()*4-1)</f>
        <v>#REF!</v>
      </c>
      <c r="H217" s="5" t="e">
        <f>G217*10000</f>
        <v>#REF!</v>
      </c>
    </row>
    <row r="218" ht="12.75" customHeight="1">
      <c r="A218" s="19" t="s">
        <v>215</v>
      </c>
      <c r="B218" s="19" t="n">
        <v>10100</v>
      </c>
      <c r="D218" s="47" t="s">
        <v>108</v>
      </c>
      <c r="E218" s="47"/>
      <c r="F218" s="46" t="s">
        <f t="array" ref="F218">INDEX($D$1:$D$861,ROW()*2)</f>
        <v>216</v>
      </c>
      <c r="G218" s="46" t="e">
        <f t="array" ref="G218">INDEX($D$1:$D$861,ROW()*4-1)</f>
        <v>#REF!</v>
      </c>
      <c r="H218" s="5" t="e">
        <f>G218*10000</f>
        <v>#REF!</v>
      </c>
    </row>
    <row r="219" ht="18" customHeight="1">
      <c r="A219" s="19" t="s">
        <v>216</v>
      </c>
      <c r="B219" s="19" t="n">
        <v>9069</v>
      </c>
      <c r="D219" s="50" t="n">
        <v>4.74</v>
      </c>
      <c r="E219" s="51"/>
      <c r="F219" s="46" t="s">
        <f t="array" ref="F219">INDEX($D$1:$D$861,ROW()*2)</f>
        <v>217</v>
      </c>
      <c r="G219" s="46" t="e">
        <f t="array" ref="G219">INDEX($D$1:$D$861,ROW()*4-1)</f>
        <v>#REF!</v>
      </c>
      <c r="H219" s="46" t="n">
        <f t="array" ref="H219">INDEX($D$1:$D$861,ROW()*2-1)</f>
        <v>9069</v>
      </c>
    </row>
    <row r="220" ht="12.75" customHeight="1">
      <c r="A220" s="19" t="s">
        <v>217</v>
      </c>
      <c r="B220" s="19" t="n">
        <v>8932</v>
      </c>
      <c r="D220" s="47" t="s">
        <v>109</v>
      </c>
      <c r="E220" s="47"/>
      <c r="F220" s="46" t="s">
        <f t="array" ref="F220">INDEX($D$1:$D$861,ROW()*2)</f>
        <v>218</v>
      </c>
      <c r="G220" s="46" t="e">
        <f t="array" ref="G220">INDEX($D$1:$D$861,ROW()*4-1)</f>
        <v>#REF!</v>
      </c>
      <c r="H220" s="46" t="n">
        <f t="array" ref="H220">INDEX($D$1:$D$861,ROW()*2-1)</f>
        <v>8932</v>
      </c>
    </row>
    <row r="221" ht="18" customHeight="1">
      <c r="A221" s="19" t="s">
        <v>218</v>
      </c>
      <c r="B221" s="19" t="n">
        <v>8741</v>
      </c>
      <c r="D221" s="50" t="n">
        <v>4.65</v>
      </c>
      <c r="E221" s="51"/>
      <c r="F221" s="46" t="s">
        <f t="array" ref="F221">INDEX($D$1:$D$861,ROW()*2)</f>
        <v>219</v>
      </c>
      <c r="G221" s="46" t="e">
        <f t="array" ref="G221">INDEX($D$1:$D$861,ROW()*4-1)</f>
        <v>#REF!</v>
      </c>
      <c r="H221" s="46" t="n">
        <f t="array" ref="H221">INDEX($D$1:$D$861,ROW()*2-1)</f>
        <v>8741</v>
      </c>
    </row>
    <row r="222" ht="12.75" customHeight="1">
      <c r="A222" s="19" t="s">
        <v>219</v>
      </c>
      <c r="B222" s="19" t="n">
        <v>8320</v>
      </c>
      <c r="D222" s="47" t="s">
        <v>110</v>
      </c>
      <c r="E222" s="47"/>
      <c r="F222" s="46" t="s">
        <f t="array" ref="F222">INDEX($D$1:$D$861,ROW()*2)</f>
        <v>220</v>
      </c>
      <c r="G222" s="46" t="e">
        <f t="array" ref="G222">INDEX($D$1:$D$861,ROW()*4-1)</f>
        <v>#REF!</v>
      </c>
      <c r="H222" s="46" t="n">
        <f t="array" ref="H222">INDEX($D$1:$D$861,ROW()*2-1)</f>
        <v>8320</v>
      </c>
    </row>
    <row r="223" ht="18" customHeight="1">
      <c r="A223" s="19" t="s">
        <v>220</v>
      </c>
      <c r="B223" s="19" t="n">
        <v>8314</v>
      </c>
      <c r="D223" s="50" t="n">
        <v>4.57</v>
      </c>
      <c r="E223" s="51"/>
      <c r="F223" s="46" t="s">
        <f t="array" ref="F223">INDEX($D$1:$D$861,ROW()*2)</f>
        <v>221</v>
      </c>
      <c r="G223" s="46" t="e">
        <f t="array" ref="G223">INDEX($D$1:$D$861,ROW()*4-1)</f>
        <v>#REF!</v>
      </c>
      <c r="H223" s="46" t="n">
        <f t="array" ref="H223">INDEX($D$1:$D$861,ROW()*2-1)</f>
        <v>8314</v>
      </c>
    </row>
    <row r="224" ht="12.75" customHeight="1">
      <c r="A224" s="19" t="s">
        <v>221</v>
      </c>
      <c r="B224" s="19" t="n">
        <v>8075</v>
      </c>
      <c r="D224" s="47" t="s">
        <v>111</v>
      </c>
      <c r="E224" s="47"/>
      <c r="F224" s="46" t="s">
        <f t="array" ref="F224">INDEX($D$1:$D$861,ROW()*2)</f>
        <v>222</v>
      </c>
      <c r="G224" s="46" t="e">
        <f t="array" ref="G224">INDEX($D$1:$D$861,ROW()*4-1)</f>
        <v>#REF!</v>
      </c>
      <c r="H224" s="46" t="n">
        <f t="array" ref="H224">INDEX($D$1:$D$861,ROW()*2-1)</f>
        <v>8075</v>
      </c>
    </row>
    <row r="225" ht="18" customHeight="1">
      <c r="A225" s="19" t="s">
        <v>222</v>
      </c>
      <c r="B225" s="19" t="n">
        <v>7984</v>
      </c>
      <c r="D225" s="50" t="n">
        <v>4.47</v>
      </c>
      <c r="E225" s="51"/>
      <c r="F225" s="46" t="s">
        <f t="array" ref="F225">INDEX($D$1:$D$861,ROW()*2)</f>
        <v>223</v>
      </c>
      <c r="G225" s="46" t="e">
        <f t="array" ref="G225">INDEX($D$1:$D$861,ROW()*4-1)</f>
        <v>#REF!</v>
      </c>
      <c r="H225" s="46" t="n">
        <f t="array" ref="H225">INDEX($D$1:$D$861,ROW()*2-1)</f>
        <v>7984</v>
      </c>
    </row>
    <row r="226" ht="12.75" customHeight="1">
      <c r="A226" s="19" t="s">
        <v>223</v>
      </c>
      <c r="B226" s="19" t="n">
        <v>7905</v>
      </c>
      <c r="D226" s="47" t="s">
        <v>112</v>
      </c>
      <c r="E226" s="47"/>
      <c r="F226" s="46" t="s">
        <f t="array" ref="F226">INDEX($D$1:$D$861,ROW()*2)</f>
        <v>224</v>
      </c>
      <c r="G226" s="46" t="e">
        <f t="array" ref="G226">INDEX($D$1:$D$861,ROW()*4-1)</f>
        <v>#REF!</v>
      </c>
      <c r="H226" s="46" t="n">
        <f t="array" ref="H226">INDEX($D$1:$D$861,ROW()*2-1)</f>
        <v>7905</v>
      </c>
    </row>
    <row r="227" ht="18" customHeight="1">
      <c r="A227" s="19" t="s">
        <v>224</v>
      </c>
      <c r="B227" s="19" t="n">
        <v>7855</v>
      </c>
      <c r="D227" s="50" t="n">
        <v>4.46</v>
      </c>
      <c r="E227" s="51"/>
      <c r="F227" s="46" t="s">
        <f t="array" ref="F227">INDEX($D$1:$D$861,ROW()*2)</f>
        <v>225</v>
      </c>
      <c r="G227" s="46" t="e">
        <f t="array" ref="G227">INDEX($D$1:$D$861,ROW()*4-1)</f>
        <v>#REF!</v>
      </c>
      <c r="H227" s="46" t="n">
        <f t="array" ref="H227">INDEX($D$1:$D$861,ROW()*2-1)</f>
        <v>7855</v>
      </c>
    </row>
    <row r="228" ht="12.75" customHeight="1">
      <c r="A228" s="19" t="s">
        <v>225</v>
      </c>
      <c r="B228" s="19" t="n">
        <v>7557</v>
      </c>
      <c r="D228" s="47" t="s">
        <v>113</v>
      </c>
      <c r="E228" s="47"/>
      <c r="F228" s="46" t="s">
        <f t="array" ref="F228">INDEX($D$1:$D$861,ROW()*2)</f>
        <v>226</v>
      </c>
      <c r="G228" s="46" t="e">
        <f t="array" ref="G228">INDEX($D$1:$D$861,ROW()*4-1)</f>
        <v>#REF!</v>
      </c>
      <c r="H228" s="46" t="n">
        <f t="array" ref="H228">INDEX($D$1:$D$861,ROW()*2-1)</f>
        <v>7557</v>
      </c>
    </row>
    <row r="229" ht="18" customHeight="1">
      <c r="A229" s="19" t="s">
        <v>226</v>
      </c>
      <c r="B229" s="19" t="n">
        <v>7453</v>
      </c>
      <c r="D229" s="50" t="n">
        <v>4.14</v>
      </c>
      <c r="E229" s="51"/>
      <c r="F229" s="46" t="s">
        <f t="array" ref="F229">INDEX($D$1:$D$861,ROW()*2)</f>
        <v>227</v>
      </c>
      <c r="G229" s="46" t="e">
        <f t="array" ref="G229">INDEX($D$1:$D$861,ROW()*4-1)</f>
        <v>#REF!</v>
      </c>
      <c r="H229" s="46" t="n">
        <f t="array" ref="H229">INDEX($D$1:$D$861,ROW()*2-1)</f>
        <v>7453</v>
      </c>
    </row>
    <row r="230" ht="12.75" customHeight="1">
      <c r="A230" s="19" t="s">
        <v>227</v>
      </c>
      <c r="B230" s="19" t="n">
        <v>7446</v>
      </c>
      <c r="D230" s="47" t="s">
        <v>114</v>
      </c>
      <c r="E230" s="47"/>
      <c r="F230" s="46" t="s">
        <f t="array" ref="F230">INDEX($D$1:$D$861,ROW()*2)</f>
        <v>228</v>
      </c>
      <c r="G230" s="46" t="e">
        <f t="array" ref="G230">INDEX($D$1:$D$861,ROW()*4-1)</f>
        <v>#REF!</v>
      </c>
      <c r="H230" s="46" t="n">
        <f t="array" ref="H230">INDEX($D$1:$D$861,ROW()*2-1)</f>
        <v>7446</v>
      </c>
    </row>
    <row r="231" ht="18" customHeight="1">
      <c r="A231" s="19" t="s">
        <v>228</v>
      </c>
      <c r="B231" s="19" t="n">
        <v>7254</v>
      </c>
      <c r="D231" s="50" t="n">
        <v>4.08</v>
      </c>
      <c r="E231" s="51"/>
      <c r="F231" s="46" t="s">
        <f t="array" ref="F231">INDEX($D$1:$D$861,ROW()*2)</f>
        <v>229</v>
      </c>
      <c r="G231" s="46" t="e">
        <f t="array" ref="G231">INDEX($D$1:$D$861,ROW()*4-1)</f>
        <v>#REF!</v>
      </c>
      <c r="H231" s="46" t="n">
        <f t="array" ref="H231">INDEX($D$1:$D$861,ROW()*2-1)</f>
        <v>7254</v>
      </c>
    </row>
    <row r="232" ht="12.75" customHeight="1">
      <c r="A232" s="19" t="s">
        <v>229</v>
      </c>
      <c r="B232" s="19" t="n">
        <v>7132</v>
      </c>
      <c r="D232" s="47" t="s">
        <v>115</v>
      </c>
      <c r="E232" s="47"/>
      <c r="F232" s="46" t="s">
        <f t="array" ref="F232">INDEX($D$1:$D$861,ROW()*2)</f>
        <v>230</v>
      </c>
      <c r="G232" s="46" t="e">
        <f t="array" ref="G232">INDEX($D$1:$D$861,ROW()*4-1)</f>
        <v>#REF!</v>
      </c>
      <c r="H232" s="46" t="n">
        <f t="array" ref="H232">INDEX($D$1:$D$861,ROW()*2-1)</f>
        <v>7132</v>
      </c>
    </row>
    <row r="233" ht="18" customHeight="1">
      <c r="A233" s="19" t="s">
        <v>230</v>
      </c>
      <c r="B233" s="19" t="n">
        <v>7076</v>
      </c>
      <c r="D233" s="50" t="n">
        <v>3.92</v>
      </c>
      <c r="E233" s="51"/>
      <c r="F233" s="46" t="s">
        <f t="array" ref="F233">INDEX($D$1:$D$861,ROW()*2)</f>
        <v>231</v>
      </c>
      <c r="G233" s="46" t="e">
        <f t="array" ref="G233">INDEX($D$1:$D$861,ROW()*4-1)</f>
        <v>#REF!</v>
      </c>
      <c r="H233" s="46" t="n">
        <f t="array" ref="H233">INDEX($D$1:$D$861,ROW()*2-1)</f>
        <v>7076</v>
      </c>
    </row>
    <row r="234" ht="12.75" customHeight="1">
      <c r="A234" s="19" t="s">
        <v>231</v>
      </c>
      <c r="B234" s="19" t="n">
        <v>7070</v>
      </c>
      <c r="D234" s="47" t="s">
        <v>116</v>
      </c>
      <c r="E234" s="47"/>
      <c r="F234" s="46" t="s">
        <f t="array" ref="F234">INDEX($D$1:$D$861,ROW()*2)</f>
        <v>232</v>
      </c>
      <c r="G234" s="46" t="e">
        <f t="array" ref="G234">INDEX($D$1:$D$861,ROW()*4-1)</f>
        <v>#REF!</v>
      </c>
      <c r="H234" s="46" t="n">
        <f t="array" ref="H234">INDEX($D$1:$D$861,ROW()*2-1)</f>
        <v>7070</v>
      </c>
    </row>
    <row r="235" ht="18" customHeight="1">
      <c r="A235" s="19" t="s">
        <v>232</v>
      </c>
      <c r="B235" s="19" t="n">
        <v>6902</v>
      </c>
      <c r="D235" s="50" t="n">
        <v>3.83</v>
      </c>
      <c r="E235" s="51"/>
      <c r="F235" s="46" t="s">
        <f t="array" ref="F235">INDEX($D$1:$D$861,ROW()*2)</f>
        <v>233</v>
      </c>
      <c r="G235" s="46" t="e">
        <f t="array" ref="G235">INDEX($D$1:$D$861,ROW()*4-1)</f>
        <v>#REF!</v>
      </c>
      <c r="H235" s="46" t="n">
        <f t="array" ref="H235">INDEX($D$1:$D$861,ROW()*2-1)</f>
        <v>6902</v>
      </c>
    </row>
    <row r="236" ht="12.75" customHeight="1">
      <c r="A236" s="19" t="s">
        <v>233</v>
      </c>
      <c r="B236" s="19" t="n">
        <v>6882</v>
      </c>
      <c r="D236" s="47" t="s">
        <v>117</v>
      </c>
      <c r="E236" s="47"/>
      <c r="F236" s="46" t="s">
        <f t="array" ref="F236">INDEX($D$1:$D$861,ROW()*2)</f>
        <v>234</v>
      </c>
      <c r="G236" s="46" t="e">
        <f t="array" ref="G236">INDEX($D$1:$D$861,ROW()*4-1)</f>
        <v>#REF!</v>
      </c>
      <c r="H236" s="46" t="n">
        <f t="array" ref="H236">INDEX($D$1:$D$861,ROW()*2-1)</f>
        <v>6882</v>
      </c>
    </row>
    <row r="237" ht="18" customHeight="1">
      <c r="A237" s="19" t="s">
        <v>234</v>
      </c>
      <c r="B237" s="19" t="n">
        <v>6639</v>
      </c>
      <c r="D237" s="50" t="n">
        <v>3.52</v>
      </c>
      <c r="E237" s="51"/>
      <c r="F237" s="46" t="s">
        <f t="array" ref="F237">INDEX($D$1:$D$861,ROW()*2)</f>
        <v>235</v>
      </c>
      <c r="G237" s="46" t="e">
        <f t="array" ref="G237">INDEX($D$1:$D$861,ROW()*4-1)</f>
        <v>#REF!</v>
      </c>
      <c r="H237" s="46" t="n">
        <f t="array" ref="H237">INDEX($D$1:$D$861,ROW()*2-1)</f>
        <v>6639</v>
      </c>
    </row>
    <row r="238" ht="12.75" customHeight="1">
      <c r="A238" s="19" t="s">
        <v>235</v>
      </c>
      <c r="B238" s="19" t="n">
        <v>6608</v>
      </c>
      <c r="D238" s="47" t="s">
        <v>118</v>
      </c>
      <c r="E238" s="47"/>
      <c r="F238" s="46" t="s">
        <f t="array" ref="F238">INDEX($D$1:$D$861,ROW()*2)</f>
        <v>236</v>
      </c>
      <c r="G238" s="46" t="e">
        <f t="array" ref="G238">INDEX($D$1:$D$861,ROW()*4-1)</f>
        <v>#REF!</v>
      </c>
      <c r="H238" s="46" t="n">
        <f t="array" ref="H238">INDEX($D$1:$D$861,ROW()*2-1)</f>
        <v>6608</v>
      </c>
    </row>
    <row r="239" ht="18" customHeight="1">
      <c r="A239" s="19" t="s">
        <v>236</v>
      </c>
      <c r="B239" s="19" t="n">
        <v>6608</v>
      </c>
      <c r="D239" s="50" t="n">
        <v>3.52</v>
      </c>
      <c r="E239" s="51"/>
      <c r="F239" s="46" t="s">
        <f t="array" ref="F239">INDEX($D$1:$D$861,ROW()*2)</f>
        <v>237</v>
      </c>
      <c r="G239" s="46" t="e">
        <f t="array" ref="G239">INDEX($D$1:$D$861,ROW()*4-1)</f>
        <v>#REF!</v>
      </c>
      <c r="H239" s="46" t="n">
        <f t="array" ref="H239">INDEX($D$1:$D$861,ROW()*2-1)</f>
        <v>6608</v>
      </c>
    </row>
    <row r="240" ht="12.75" customHeight="1">
      <c r="A240" s="19" t="s">
        <v>237</v>
      </c>
      <c r="B240" s="19" t="n">
        <v>6536</v>
      </c>
      <c r="D240" s="47" t="s">
        <v>119</v>
      </c>
      <c r="E240" s="47"/>
      <c r="F240" s="46" t="s">
        <f t="array" ref="F240">INDEX($D$1:$D$861,ROW()*2)</f>
        <v>238</v>
      </c>
      <c r="G240" s="46" t="e">
        <f t="array" ref="G240">INDEX($D$1:$D$861,ROW()*4-1)</f>
        <v>#REF!</v>
      </c>
      <c r="H240" s="46" t="n">
        <f t="array" ref="H240">INDEX($D$1:$D$861,ROW()*2-1)</f>
        <v>6536</v>
      </c>
    </row>
    <row r="241" ht="18" customHeight="1">
      <c r="A241" s="19" t="s">
        <v>238</v>
      </c>
      <c r="B241" s="19" t="n">
        <v>6519</v>
      </c>
      <c r="D241" s="50" t="n">
        <v>3.43</v>
      </c>
      <c r="E241" s="51"/>
      <c r="F241" s="46" t="s">
        <f t="array" ref="F241">INDEX($D$1:$D$861,ROW()*2)</f>
        <v>239</v>
      </c>
      <c r="G241" s="46" t="e">
        <f t="array" ref="G241">INDEX($D$1:$D$861,ROW()*4-1)</f>
        <v>#REF!</v>
      </c>
      <c r="H241" s="46" t="n">
        <f t="array" ref="H241">INDEX($D$1:$D$861,ROW()*2-1)</f>
        <v>6519</v>
      </c>
    </row>
    <row r="242" ht="12.75" customHeight="1">
      <c r="A242" s="19" t="s">
        <v>239</v>
      </c>
      <c r="B242" s="19" t="n">
        <v>6519</v>
      </c>
      <c r="D242" s="47" t="s">
        <v>120</v>
      </c>
      <c r="E242" s="47"/>
      <c r="F242" s="46" t="s">
        <f t="array" ref="F242">INDEX($D$1:$D$861,ROW()*2)</f>
        <v>240</v>
      </c>
      <c r="G242" s="46" t="e">
        <f t="array" ref="G242">INDEX($D$1:$D$861,ROW()*4-1)</f>
        <v>#REF!</v>
      </c>
      <c r="H242" s="46" t="n">
        <f t="array" ref="H242">INDEX($D$1:$D$861,ROW()*2-1)</f>
        <v>6519</v>
      </c>
    </row>
    <row r="243" ht="18" customHeight="1">
      <c r="A243" s="19" t="s">
        <v>240</v>
      </c>
      <c r="B243" s="19" t="n">
        <v>6388</v>
      </c>
      <c r="D243" s="50" t="n">
        <v>3.41</v>
      </c>
      <c r="E243" s="51"/>
      <c r="F243" s="46" t="s">
        <f t="array" ref="F243">INDEX($D$1:$D$861,ROW()*2)</f>
        <v>241</v>
      </c>
      <c r="G243" s="46" t="e">
        <f t="array" ref="G243">INDEX($D$1:$D$861,ROW()*4-1)</f>
        <v>#REF!</v>
      </c>
      <c r="H243" s="46" t="n">
        <f t="array" ref="H243">INDEX($D$1:$D$861,ROW()*2-1)</f>
        <v>6388</v>
      </c>
    </row>
    <row r="244" ht="12.75" customHeight="1">
      <c r="A244" s="19" t="s">
        <v>241</v>
      </c>
      <c r="B244" s="19" t="n">
        <v>6348</v>
      </c>
      <c r="D244" s="47" t="s">
        <v>121</v>
      </c>
      <c r="E244" s="47"/>
      <c r="F244" s="46" t="s">
        <f t="array" ref="F244">INDEX($D$1:$D$861,ROW()*2)</f>
        <v>242</v>
      </c>
      <c r="G244" s="46" t="e">
        <f t="array" ref="G244">INDEX($D$1:$D$861,ROW()*4-1)</f>
        <v>#REF!</v>
      </c>
      <c r="H244" s="46" t="n">
        <f t="array" ref="H244">INDEX($D$1:$D$861,ROW()*2-1)</f>
        <v>6348</v>
      </c>
    </row>
    <row r="245" ht="18" customHeight="1">
      <c r="A245" s="19" t="s">
        <v>242</v>
      </c>
      <c r="B245" s="19" t="n">
        <v>6337</v>
      </c>
      <c r="D245" s="50" t="n">
        <v>3.37</v>
      </c>
      <c r="E245" s="51"/>
      <c r="F245" s="46" t="s">
        <f t="array" ref="F245">INDEX($D$1:$D$861,ROW()*2)</f>
        <v>243</v>
      </c>
      <c r="G245" s="46" t="e">
        <f t="array" ref="G245">INDEX($D$1:$D$861,ROW()*4-1)</f>
        <v>#REF!</v>
      </c>
      <c r="H245" s="46" t="n">
        <f t="array" ref="H245">INDEX($D$1:$D$861,ROW()*2-1)</f>
        <v>6337</v>
      </c>
    </row>
    <row r="246" ht="12.75" customHeight="1">
      <c r="A246" s="19" t="s">
        <v>243</v>
      </c>
      <c r="B246" s="19" t="n">
        <v>6318</v>
      </c>
      <c r="D246" s="47" t="s">
        <v>122</v>
      </c>
      <c r="E246" s="47"/>
      <c r="F246" s="46" t="s">
        <f t="array" ref="F246">INDEX($D$1:$D$861,ROW()*2)</f>
        <v>244</v>
      </c>
      <c r="G246" s="46" t="e">
        <f t="array" ref="G246">INDEX($D$1:$D$861,ROW()*4-1)</f>
        <v>#REF!</v>
      </c>
      <c r="H246" s="46" t="n">
        <f t="array" ref="H246">INDEX($D$1:$D$861,ROW()*2-1)</f>
        <v>6318</v>
      </c>
    </row>
    <row r="247" ht="18" customHeight="1">
      <c r="A247" s="19" t="s">
        <v>244</v>
      </c>
      <c r="B247" s="19" t="n">
        <v>6266</v>
      </c>
      <c r="D247" s="50" t="n">
        <v>3.32</v>
      </c>
      <c r="E247" s="51"/>
      <c r="F247" s="46" t="s">
        <f t="array" ref="F247">INDEX($D$1:$D$861,ROW()*2)</f>
        <v>245</v>
      </c>
      <c r="G247" s="46" t="e">
        <f t="array" ref="G247">INDEX($D$1:$D$861,ROW()*4-1)</f>
        <v>#REF!</v>
      </c>
      <c r="H247" s="46" t="n">
        <f t="array" ref="H247">INDEX($D$1:$D$861,ROW()*2-1)</f>
        <v>6266</v>
      </c>
    </row>
    <row r="248" ht="12.75" customHeight="1">
      <c r="A248" s="19" t="s">
        <v>245</v>
      </c>
      <c r="B248" s="19" t="n">
        <v>6046</v>
      </c>
      <c r="D248" s="47" t="s">
        <v>123</v>
      </c>
      <c r="E248" s="47"/>
      <c r="F248" s="46" t="s">
        <f t="array" ref="F248">INDEX($D$1:$D$861,ROW()*2)</f>
        <v>246</v>
      </c>
      <c r="G248" s="46" t="e">
        <f t="array" ref="G248">INDEX($D$1:$D$861,ROW()*4-1)</f>
        <v>#REF!</v>
      </c>
      <c r="H248" s="46" t="n">
        <f t="array" ref="H248">INDEX($D$1:$D$861,ROW()*2-1)</f>
        <v>6046</v>
      </c>
    </row>
    <row r="249" ht="18" customHeight="1">
      <c r="A249" s="19" t="s">
        <v>246</v>
      </c>
      <c r="B249" s="19" t="n">
        <v>6046</v>
      </c>
      <c r="D249" s="50" t="n">
        <v>3.27</v>
      </c>
      <c r="E249" s="51"/>
      <c r="F249" s="46" t="s">
        <f t="array" ref="F249">INDEX($D$1:$D$861,ROW()*2)</f>
        <v>247</v>
      </c>
      <c r="G249" s="46" t="e">
        <f t="array" ref="G249">INDEX($D$1:$D$861,ROW()*4-1)</f>
        <v>#REF!</v>
      </c>
      <c r="H249" s="46" t="n">
        <f t="array" ref="H249">INDEX($D$1:$D$861,ROW()*2-1)</f>
        <v>6046</v>
      </c>
    </row>
    <row r="250" ht="12.75" customHeight="1">
      <c r="A250" s="19" t="s">
        <v>247</v>
      </c>
      <c r="B250" s="19" t="n">
        <v>5986</v>
      </c>
      <c r="D250" s="47" t="s">
        <v>124</v>
      </c>
      <c r="E250" s="47"/>
      <c r="F250" s="46" t="s">
        <f t="array" ref="F250">INDEX($D$1:$D$861,ROW()*2)</f>
        <v>248</v>
      </c>
      <c r="G250" s="46" t="e">
        <f t="array" ref="G250">INDEX($D$1:$D$861,ROW()*4-1)</f>
        <v>#REF!</v>
      </c>
      <c r="H250" s="46" t="n">
        <f t="array" ref="H250">INDEX($D$1:$D$861,ROW()*2-1)</f>
        <v>5986</v>
      </c>
    </row>
    <row r="251" ht="18" customHeight="1">
      <c r="A251" s="19" t="s">
        <v>248</v>
      </c>
      <c r="B251" s="19" t="n">
        <v>5840</v>
      </c>
      <c r="D251" s="50" t="n">
        <v>3.16</v>
      </c>
      <c r="E251" s="51"/>
      <c r="F251" s="46" t="s">
        <f t="array" ref="F251">INDEX($D$1:$D$861,ROW()*2)</f>
        <v>249</v>
      </c>
      <c r="G251" s="46" t="e">
        <f t="array" ref="G251">INDEX($D$1:$D$861,ROW()*4-1)</f>
        <v>#REF!</v>
      </c>
      <c r="H251" s="46" t="n">
        <f t="array" ref="H251">INDEX($D$1:$D$861,ROW()*2-1)</f>
        <v>5840</v>
      </c>
    </row>
    <row r="252" ht="12.75" customHeight="1">
      <c r="A252" s="19" t="s">
        <v>249</v>
      </c>
      <c r="B252" s="19" t="n">
        <v>5809</v>
      </c>
      <c r="D252" s="47" t="s">
        <v>125</v>
      </c>
      <c r="E252" s="47"/>
      <c r="F252" s="46" t="s">
        <f t="array" ref="F252">INDEX($D$1:$D$861,ROW()*2)</f>
        <v>250</v>
      </c>
      <c r="G252" s="46" t="e">
        <f t="array" ref="G252">INDEX($D$1:$D$861,ROW()*4-1)</f>
        <v>#REF!</v>
      </c>
      <c r="H252" s="46" t="n">
        <f t="array" ref="H252">INDEX($D$1:$D$861,ROW()*2-1)</f>
        <v>5809</v>
      </c>
    </row>
    <row r="253" ht="18" customHeight="1">
      <c r="A253" s="19" t="s">
        <v>250</v>
      </c>
      <c r="B253" s="19" t="n">
        <v>5809</v>
      </c>
      <c r="D253" s="50" t="n">
        <v>3.01</v>
      </c>
      <c r="E253" s="51"/>
      <c r="F253" s="46" t="s">
        <f t="array" ref="F253">INDEX($D$1:$D$861,ROW()*2)</f>
        <v>251</v>
      </c>
      <c r="G253" s="46" t="e">
        <f t="array" ref="G253">INDEX($D$1:$D$861,ROW()*4-1)</f>
        <v>#REF!</v>
      </c>
      <c r="H253" s="46" t="n">
        <f t="array" ref="H253">INDEX($D$1:$D$861,ROW()*2-1)</f>
        <v>5809</v>
      </c>
    </row>
    <row r="254" ht="12.75" customHeight="1">
      <c r="A254" s="19" t="s">
        <v>251</v>
      </c>
      <c r="B254" s="19" t="n">
        <v>5805</v>
      </c>
      <c r="D254" s="47" t="s">
        <v>126</v>
      </c>
      <c r="E254" s="47"/>
      <c r="F254" s="46" t="s">
        <f t="array" ref="F254">INDEX($D$1:$D$861,ROW()*2)</f>
        <v>252</v>
      </c>
      <c r="G254" s="46" t="e">
        <f t="array" ref="G254">INDEX($D$1:$D$861,ROW()*4-1)</f>
        <v>#REF!</v>
      </c>
      <c r="H254" s="46" t="n">
        <f t="array" ref="H254">INDEX($D$1:$D$861,ROW()*2-1)</f>
        <v>5805</v>
      </c>
    </row>
    <row r="255" ht="18" customHeight="1">
      <c r="A255" s="19" t="s">
        <v>252</v>
      </c>
      <c r="B255" s="19" t="n">
        <v>5676</v>
      </c>
      <c r="D255" s="50" t="n">
        <v>2.9</v>
      </c>
      <c r="E255" s="51"/>
      <c r="F255" s="46" t="s">
        <f t="array" ref="F255">INDEX($D$1:$D$861,ROW()*2)</f>
        <v>253</v>
      </c>
      <c r="G255" s="46" t="e">
        <f t="array" ref="G255">INDEX($D$1:$D$861,ROW()*4-1)</f>
        <v>#REF!</v>
      </c>
      <c r="H255" s="46" t="n">
        <f t="array" ref="H255">INDEX($D$1:$D$861,ROW()*2-1)</f>
        <v>5676</v>
      </c>
    </row>
    <row r="256" ht="12.75" customHeight="1">
      <c r="A256" s="19" t="s">
        <v>253</v>
      </c>
      <c r="B256" s="19" t="n">
        <v>5658</v>
      </c>
      <c r="D256" s="47" t="s">
        <v>127</v>
      </c>
      <c r="E256" s="47"/>
      <c r="F256" s="46" t="s">
        <f t="array" ref="F256">INDEX($D$1:$D$861,ROW()*2)</f>
        <v>254</v>
      </c>
      <c r="G256" s="46" t="e">
        <f t="array" ref="G256">INDEX($D$1:$D$861,ROW()*4-1)</f>
        <v>#REF!</v>
      </c>
      <c r="H256" s="46" t="n">
        <f t="array" ref="H256">INDEX($D$1:$D$861,ROW()*2-1)</f>
        <v>5658</v>
      </c>
    </row>
    <row r="257" ht="18" customHeight="1">
      <c r="A257" s="19" t="s">
        <v>254</v>
      </c>
      <c r="B257" s="19" t="n">
        <v>5636</v>
      </c>
      <c r="D257" s="50" t="n">
        <v>2.89</v>
      </c>
      <c r="E257" s="51"/>
      <c r="F257" s="46" t="s">
        <f t="array" ref="F257">INDEX($D$1:$D$861,ROW()*2)</f>
        <v>255</v>
      </c>
      <c r="G257" s="46" t="e">
        <f t="array" ref="G257">INDEX($D$1:$D$861,ROW()*4-1)</f>
        <v>#REF!</v>
      </c>
      <c r="H257" s="46" t="n">
        <f t="array" ref="H257">INDEX($D$1:$D$861,ROW()*2-1)</f>
        <v>5636</v>
      </c>
    </row>
    <row r="258" ht="12.75" customHeight="1">
      <c r="A258" s="19" t="s">
        <v>255</v>
      </c>
      <c r="B258" s="19" t="n">
        <v>5522</v>
      </c>
      <c r="D258" s="47" t="s">
        <v>128</v>
      </c>
      <c r="E258" s="47"/>
      <c r="F258" s="46" t="s">
        <f t="array" ref="F258">INDEX($D$1:$D$861,ROW()*2)</f>
        <v>256</v>
      </c>
      <c r="G258" s="46" t="e">
        <f t="array" ref="G258">INDEX($D$1:$D$861,ROW()*4-1)</f>
        <v>#REF!</v>
      </c>
      <c r="H258" s="46" t="n">
        <f t="array" ref="H258">INDEX($D$1:$D$861,ROW()*2-1)</f>
        <v>5522</v>
      </c>
    </row>
    <row r="259" ht="18" customHeight="1">
      <c r="A259" s="19" t="s">
        <v>256</v>
      </c>
      <c r="B259" s="19" t="n">
        <v>5377</v>
      </c>
      <c r="D259" s="50" t="n">
        <v>2.83</v>
      </c>
      <c r="E259" s="51"/>
      <c r="F259" s="46" t="s">
        <f t="array" ref="F259">INDEX($D$1:$D$861,ROW()*2)</f>
        <v>257</v>
      </c>
      <c r="G259" s="46" t="e">
        <f t="array" ref="G259">INDEX($D$1:$D$861,ROW()*4-1)</f>
        <v>#REF!</v>
      </c>
      <c r="H259" s="46" t="n">
        <f t="array" ref="H259">INDEX($D$1:$D$861,ROW()*2-1)</f>
        <v>5377</v>
      </c>
    </row>
    <row r="260" ht="12.75" customHeight="1">
      <c r="A260" s="19" t="s">
        <v>257</v>
      </c>
      <c r="B260" s="19" t="n">
        <v>5271</v>
      </c>
      <c r="D260" s="47" t="s">
        <v>129</v>
      </c>
      <c r="E260" s="47"/>
      <c r="F260" s="46" t="s">
        <f t="array" ref="F260">INDEX($D$1:$D$861,ROW()*2)</f>
        <v>258</v>
      </c>
      <c r="G260" s="46" t="e">
        <f t="array" ref="G260">INDEX($D$1:$D$861,ROW()*4-1)</f>
        <v>#REF!</v>
      </c>
      <c r="H260" s="46" t="n">
        <f t="array" ref="H260">INDEX($D$1:$D$861,ROW()*2-1)</f>
        <v>5271</v>
      </c>
    </row>
    <row r="261" ht="18" customHeight="1">
      <c r="A261" s="19" t="s">
        <v>258</v>
      </c>
      <c r="B261" s="19" t="n">
        <v>4856</v>
      </c>
      <c r="D261" s="50" t="n">
        <v>2.83</v>
      </c>
      <c r="E261" s="51"/>
      <c r="F261" s="46" t="s">
        <f t="array" ref="F261">INDEX($D$1:$D$861,ROW()*2)</f>
        <v>259</v>
      </c>
      <c r="G261" s="46" t="e">
        <f t="array" ref="G261">INDEX($D$1:$D$861,ROW()*4-1)</f>
        <v>#REF!</v>
      </c>
      <c r="H261" s="46" t="n">
        <f t="array" ref="H261">INDEX($D$1:$D$861,ROW()*2-1)</f>
        <v>4856</v>
      </c>
    </row>
    <row r="262" ht="12.75" customHeight="1">
      <c r="A262" s="19" t="s">
        <v>259</v>
      </c>
      <c r="B262" s="19" t="n">
        <v>4677</v>
      </c>
      <c r="D262" s="47" t="s">
        <v>130</v>
      </c>
      <c r="E262" s="47"/>
      <c r="F262" s="46" t="s">
        <f t="array" ref="F262">INDEX($D$1:$D$861,ROW()*2)</f>
        <v>260</v>
      </c>
      <c r="G262" s="46" t="e">
        <f t="array" ref="G262">INDEX($D$1:$D$861,ROW()*4-1)</f>
        <v>#REF!</v>
      </c>
      <c r="H262" s="46" t="n">
        <f t="array" ref="H262">INDEX($D$1:$D$861,ROW()*2-1)</f>
        <v>4677</v>
      </c>
    </row>
    <row r="263" ht="18" customHeight="1">
      <c r="A263" s="19" t="s">
        <v>260</v>
      </c>
      <c r="B263" s="19" t="n">
        <v>4662</v>
      </c>
      <c r="D263" s="50" t="n">
        <v>2.79</v>
      </c>
      <c r="E263" s="51"/>
      <c r="F263" s="46" t="s">
        <f t="array" ref="F263">INDEX($D$1:$D$861,ROW()*2)</f>
        <v>261</v>
      </c>
      <c r="G263" s="46" t="e">
        <f t="array" ref="G263">INDEX($D$1:$D$861,ROW()*4-1)</f>
        <v>#REF!</v>
      </c>
      <c r="H263" s="46" t="n">
        <f t="array" ref="H263">INDEX($D$1:$D$861,ROW()*2-1)</f>
        <v>4662</v>
      </c>
    </row>
    <row r="264" ht="12.75" customHeight="1">
      <c r="A264" s="19" t="s">
        <v>261</v>
      </c>
      <c r="B264" s="19" t="n">
        <v>4638</v>
      </c>
      <c r="D264" s="47" t="s">
        <v>131</v>
      </c>
      <c r="E264" s="47"/>
      <c r="F264" s="46" t="s">
        <f t="array" ref="F264">INDEX($D$1:$D$861,ROW()*2)</f>
        <v>262</v>
      </c>
      <c r="G264" s="46" t="e">
        <f t="array" ref="G264">INDEX($D$1:$D$861,ROW()*4-1)</f>
        <v>#REF!</v>
      </c>
      <c r="H264" s="46" t="n">
        <f t="array" ref="H264">INDEX($D$1:$D$861,ROW()*2-1)</f>
        <v>4638</v>
      </c>
    </row>
    <row r="265" ht="18" customHeight="1">
      <c r="A265" s="19" t="s">
        <v>262</v>
      </c>
      <c r="B265" s="19" t="n">
        <v>4638</v>
      </c>
      <c r="D265" s="50" t="n">
        <v>2.79</v>
      </c>
      <c r="E265" s="51"/>
      <c r="F265" s="46" t="s">
        <f t="array" ref="F265">INDEX($D$1:$D$861,ROW()*2)</f>
        <v>263</v>
      </c>
      <c r="G265" s="46" t="e">
        <f t="array" ref="G265">INDEX($D$1:$D$861,ROW()*4-1)</f>
        <v>#REF!</v>
      </c>
      <c r="H265" s="46" t="n">
        <f t="array" ref="H265">INDEX($D$1:$D$861,ROW()*2-1)</f>
        <v>4638</v>
      </c>
    </row>
    <row r="266" ht="12.75" customHeight="1">
      <c r="A266" s="19" t="s">
        <v>263</v>
      </c>
      <c r="B266" s="19" t="n">
        <v>4587</v>
      </c>
      <c r="D266" s="47" t="s">
        <v>132</v>
      </c>
      <c r="E266" s="47"/>
      <c r="F266" s="46" t="s">
        <f t="array" ref="F266">INDEX($D$1:$D$861,ROW()*2)</f>
        <v>264</v>
      </c>
      <c r="G266" s="46" t="e">
        <f t="array" ref="G266">INDEX($D$1:$D$861,ROW()*4-1)</f>
        <v>#REF!</v>
      </c>
      <c r="H266" s="46" t="n">
        <f t="array" ref="H266">INDEX($D$1:$D$861,ROW()*2-1)</f>
        <v>4587</v>
      </c>
    </row>
    <row r="267" ht="18" customHeight="1">
      <c r="A267" s="19" t="s">
        <v>264</v>
      </c>
      <c r="B267" s="19" t="n">
        <v>4369</v>
      </c>
      <c r="D267" s="50" t="n">
        <v>2.69</v>
      </c>
      <c r="E267" s="51"/>
      <c r="F267" s="46" t="s">
        <f t="array" ref="F267">INDEX($D$1:$D$861,ROW()*2)</f>
        <v>265</v>
      </c>
      <c r="G267" s="46" t="e">
        <f t="array" ref="G267">INDEX($D$1:$D$861,ROW()*4-1)</f>
        <v>#REF!</v>
      </c>
      <c r="H267" s="46" t="n">
        <f t="array" ref="H267">INDEX($D$1:$D$861,ROW()*2-1)</f>
        <v>4369</v>
      </c>
    </row>
    <row r="268" ht="12.75" customHeight="1">
      <c r="A268" s="19" t="s">
        <v>265</v>
      </c>
      <c r="B268" s="19" t="n">
        <v>4218</v>
      </c>
      <c r="D268" s="47" t="s">
        <v>133</v>
      </c>
      <c r="E268" s="47"/>
      <c r="F268" s="46" t="s">
        <f t="array" ref="F268">INDEX($D$1:$D$861,ROW()*2)</f>
        <v>266</v>
      </c>
      <c r="G268" s="46" t="e">
        <f t="array" ref="G268">INDEX($D$1:$D$861,ROW()*4-1)</f>
        <v>#REF!</v>
      </c>
      <c r="H268" s="46" t="n">
        <f t="array" ref="H268">INDEX($D$1:$D$861,ROW()*2-1)</f>
        <v>4218</v>
      </c>
    </row>
    <row r="269" ht="18" customHeight="1">
      <c r="A269" s="19" t="s">
        <v>266</v>
      </c>
      <c r="B269" s="19" t="n">
        <v>4207</v>
      </c>
      <c r="D269" s="50" t="n">
        <v>2.69</v>
      </c>
      <c r="E269" s="51"/>
      <c r="F269" s="46" t="s">
        <f t="array" ref="F269">INDEX($D$1:$D$861,ROW()*2)</f>
        <v>267</v>
      </c>
      <c r="G269" s="46" t="e">
        <f t="array" ref="G269">INDEX($D$1:$D$861,ROW()*4-1)</f>
        <v>#REF!</v>
      </c>
      <c r="H269" s="46" t="n">
        <f t="array" ref="H269">INDEX($D$1:$D$861,ROW()*2-1)</f>
        <v>4207</v>
      </c>
    </row>
    <row r="270" ht="12.75" customHeight="1">
      <c r="A270" s="19" t="s">
        <v>267</v>
      </c>
      <c r="B270" s="19" t="n">
        <v>4203</v>
      </c>
      <c r="D270" s="47" t="s">
        <v>134</v>
      </c>
      <c r="E270" s="47"/>
      <c r="F270" s="46" t="s">
        <f t="array" ref="F270">INDEX($D$1:$D$861,ROW()*2)</f>
        <v>268</v>
      </c>
      <c r="G270" s="46" t="e">
        <f t="array" ref="G270">INDEX($D$1:$D$861,ROW()*4-1)</f>
        <v>#REF!</v>
      </c>
      <c r="H270" s="46" t="n">
        <f t="array" ref="H270">INDEX($D$1:$D$861,ROW()*2-1)</f>
        <v>4203</v>
      </c>
    </row>
    <row r="271" ht="18" customHeight="1">
      <c r="A271" s="19" t="s">
        <v>268</v>
      </c>
      <c r="B271" s="19" t="n">
        <v>4136</v>
      </c>
      <c r="D271" s="50" t="n">
        <v>2.55</v>
      </c>
      <c r="E271" s="51"/>
      <c r="F271" s="46" t="s">
        <f t="array" ref="F271">INDEX($D$1:$D$861,ROW()*2)</f>
        <v>269</v>
      </c>
      <c r="G271" s="46" t="e">
        <f t="array" ref="G271">INDEX($D$1:$D$861,ROW()*4-1)</f>
        <v>#REF!</v>
      </c>
      <c r="H271" s="46" t="n">
        <f t="array" ref="H271">INDEX($D$1:$D$861,ROW()*2-1)</f>
        <v>4136</v>
      </c>
    </row>
    <row r="272" ht="12.75" customHeight="1">
      <c r="A272" s="19" t="s">
        <v>269</v>
      </c>
      <c r="B272" s="19" t="n">
        <v>3891</v>
      </c>
      <c r="D272" s="47" t="s">
        <v>135</v>
      </c>
      <c r="E272" s="47"/>
      <c r="F272" s="46" t="s">
        <f t="array" ref="F272">INDEX($D$1:$D$861,ROW()*2)</f>
        <v>270</v>
      </c>
      <c r="G272" s="46" t="e">
        <f t="array" ref="G272">INDEX($D$1:$D$861,ROW()*4-1)</f>
        <v>#REF!</v>
      </c>
      <c r="H272" s="46" t="n">
        <f t="array" ref="H272">INDEX($D$1:$D$861,ROW()*2-1)</f>
        <v>3891</v>
      </c>
    </row>
    <row r="273" ht="18" customHeight="1">
      <c r="A273" s="19" t="s">
        <v>270</v>
      </c>
      <c r="B273" s="19" t="n">
        <v>3518</v>
      </c>
      <c r="D273" s="50" t="n">
        <v>2.52</v>
      </c>
      <c r="E273" s="51"/>
      <c r="F273" s="46" t="s">
        <f t="array" ref="F273">INDEX($D$1:$D$861,ROW()*2)</f>
        <v>271</v>
      </c>
      <c r="G273" s="46" t="e">
        <f t="array" ref="G273">INDEX($D$1:$D$861,ROW()*4-1)</f>
        <v>#REF!</v>
      </c>
      <c r="H273" s="46" t="n">
        <f t="array" ref="H273">INDEX($D$1:$D$861,ROW()*2-1)</f>
        <v>3518</v>
      </c>
    </row>
    <row r="274" ht="12.75" customHeight="1">
      <c r="A274" s="19" t="s">
        <v>271</v>
      </c>
      <c r="B274" s="19" t="n">
        <v>3500</v>
      </c>
      <c r="D274" s="47" t="s">
        <v>136</v>
      </c>
      <c r="E274" s="47"/>
      <c r="F274" s="46" t="s">
        <f t="array" ref="F274">INDEX($D$1:$D$861,ROW()*2)</f>
        <v>272</v>
      </c>
      <c r="G274" s="46" t="e">
        <f t="array" ref="G274">INDEX($D$1:$D$861,ROW()*4-1)</f>
        <v>#REF!</v>
      </c>
      <c r="H274" s="46" t="n">
        <f t="array" ref="H274">INDEX($D$1:$D$861,ROW()*2-1)</f>
        <v>3500</v>
      </c>
    </row>
    <row r="275" ht="18" customHeight="1">
      <c r="A275" s="19" t="s">
        <v>272</v>
      </c>
      <c r="B275" s="19" t="n">
        <v>3363</v>
      </c>
      <c r="D275" s="50" t="n">
        <v>2.5</v>
      </c>
      <c r="E275" s="51"/>
      <c r="F275" s="46" t="s">
        <f t="array" ref="F275">INDEX($D$1:$D$861,ROW()*2)</f>
        <v>273</v>
      </c>
      <c r="G275" s="46" t="e">
        <f t="array" ref="G275">INDEX($D$1:$D$861,ROW()*4-1)</f>
        <v>#REF!</v>
      </c>
      <c r="H275" s="46" t="n">
        <f t="array" ref="H275">INDEX($D$1:$D$861,ROW()*2-1)</f>
        <v>3363</v>
      </c>
    </row>
    <row r="276" ht="12.75" customHeight="1">
      <c r="A276" s="19" t="s">
        <v>273</v>
      </c>
      <c r="B276" s="19" t="n">
        <v>3305</v>
      </c>
      <c r="D276" s="47" t="s">
        <v>137</v>
      </c>
      <c r="E276" s="47"/>
      <c r="F276" s="46" t="s">
        <f t="array" ref="F276">INDEX($D$1:$D$861,ROW()*2)</f>
        <v>274</v>
      </c>
      <c r="G276" s="46" t="e">
        <f t="array" ref="G276">INDEX($D$1:$D$861,ROW()*4-1)</f>
        <v>#REF!</v>
      </c>
      <c r="H276" s="46" t="n">
        <f t="array" ref="H276">INDEX($D$1:$D$861,ROW()*2-1)</f>
        <v>3305</v>
      </c>
    </row>
    <row r="277" ht="18" customHeight="1">
      <c r="A277" s="19" t="s">
        <v>274</v>
      </c>
      <c r="B277" s="19" t="n">
        <v>3292</v>
      </c>
      <c r="D277" s="50" t="n">
        <v>2.5</v>
      </c>
      <c r="E277" s="51"/>
      <c r="F277" s="46" t="s">
        <f t="array" ref="F277">INDEX($D$1:$D$861,ROW()*2)</f>
        <v>275</v>
      </c>
      <c r="G277" s="46" t="e">
        <f t="array" ref="G277">INDEX($D$1:$D$861,ROW()*4-1)</f>
        <v>#REF!</v>
      </c>
      <c r="H277" s="46" t="n">
        <f t="array" ref="H277">INDEX($D$1:$D$861,ROW()*2-1)</f>
        <v>3292</v>
      </c>
    </row>
    <row r="278" ht="12.75" customHeight="1">
      <c r="A278" s="19" t="s">
        <v>275</v>
      </c>
      <c r="B278" s="19" t="n">
        <v>3284</v>
      </c>
      <c r="D278" s="47" t="s">
        <v>138</v>
      </c>
      <c r="E278" s="47"/>
      <c r="F278" s="46" t="s">
        <f t="array" ref="F278">INDEX($D$1:$D$861,ROW()*2)</f>
        <v>276</v>
      </c>
      <c r="G278" s="46" t="e">
        <f t="array" ref="G278">INDEX($D$1:$D$861,ROW()*4-1)</f>
        <v>#REF!</v>
      </c>
      <c r="H278" s="46" t="n">
        <f t="array" ref="H278">INDEX($D$1:$D$861,ROW()*2-1)</f>
        <v>3284</v>
      </c>
    </row>
    <row r="279" ht="18" customHeight="1">
      <c r="A279" s="19" t="s">
        <v>276</v>
      </c>
      <c r="B279" s="19" t="n">
        <v>3270</v>
      </c>
      <c r="D279" s="50" t="n">
        <v>2.49</v>
      </c>
      <c r="E279" s="51"/>
      <c r="F279" s="46" t="s">
        <f t="array" ref="F279">INDEX($D$1:$D$861,ROW()*2)</f>
        <v>277</v>
      </c>
      <c r="G279" s="46" t="e">
        <f t="array" ref="G279">INDEX($D$1:$D$861,ROW()*4-1)</f>
        <v>#REF!</v>
      </c>
      <c r="H279" s="46" t="n">
        <f t="array" ref="H279">INDEX($D$1:$D$861,ROW()*2-1)</f>
        <v>3270</v>
      </c>
    </row>
    <row r="280" ht="12.75" customHeight="1">
      <c r="A280" s="19" t="s">
        <v>277</v>
      </c>
      <c r="B280" s="19" t="n">
        <v>3259</v>
      </c>
      <c r="D280" s="47" t="s">
        <v>139</v>
      </c>
      <c r="E280" s="47"/>
      <c r="F280" s="46" t="s">
        <f t="array" ref="F280">INDEX($D$1:$D$861,ROW()*2)</f>
        <v>278</v>
      </c>
      <c r="G280" s="46" t="e">
        <f t="array" ref="G280">INDEX($D$1:$D$861,ROW()*4-1)</f>
        <v>#REF!</v>
      </c>
      <c r="H280" s="46" t="n">
        <f t="array" ref="H280">INDEX($D$1:$D$861,ROW()*2-1)</f>
        <v>3259</v>
      </c>
    </row>
    <row r="281" ht="18" customHeight="1">
      <c r="A281" s="19" t="s">
        <v>278</v>
      </c>
      <c r="B281" s="19" t="n">
        <v>3085</v>
      </c>
      <c r="D281" s="50" t="n">
        <v>2.47</v>
      </c>
      <c r="E281" s="51"/>
      <c r="F281" s="46" t="s">
        <f t="array" ref="F281">INDEX($D$1:$D$861,ROW()*2)</f>
        <v>279</v>
      </c>
      <c r="G281" s="46" t="e">
        <f t="array" ref="G281">INDEX($D$1:$D$861,ROW()*4-1)</f>
        <v>#REF!</v>
      </c>
      <c r="H281" s="46" t="n">
        <f t="array" ref="H281">INDEX($D$1:$D$861,ROW()*2-1)</f>
        <v>3085</v>
      </c>
    </row>
    <row r="282" ht="12.75" customHeight="1">
      <c r="A282" s="19" t="s">
        <v>279</v>
      </c>
      <c r="B282" s="19" t="n">
        <v>3070</v>
      </c>
      <c r="D282" s="47" t="s">
        <v>140</v>
      </c>
      <c r="E282" s="47"/>
      <c r="F282" s="46" t="s">
        <f t="array" ref="F282">INDEX($D$1:$D$861,ROW()*2)</f>
        <v>280</v>
      </c>
      <c r="G282" s="46" t="e">
        <f t="array" ref="G282">INDEX($D$1:$D$861,ROW()*4-1)</f>
        <v>#REF!</v>
      </c>
      <c r="H282" s="46" t="n">
        <f t="array" ref="H282">INDEX($D$1:$D$861,ROW()*2-1)</f>
        <v>3070</v>
      </c>
    </row>
    <row r="283" ht="18" customHeight="1">
      <c r="A283" s="19" t="s">
        <v>280</v>
      </c>
      <c r="B283" s="19" t="n">
        <v>2998</v>
      </c>
      <c r="D283" s="50" t="n">
        <v>2.34</v>
      </c>
      <c r="E283" s="51"/>
      <c r="F283" s="46" t="s">
        <f t="array" ref="F283">INDEX($D$1:$D$861,ROW()*2)</f>
        <v>281</v>
      </c>
      <c r="G283" s="46" t="e">
        <f t="array" ref="G283">INDEX($D$1:$D$861,ROW()*4-1)</f>
        <v>#REF!</v>
      </c>
      <c r="H283" s="46" t="n">
        <f t="array" ref="H283">INDEX($D$1:$D$861,ROW()*2-1)</f>
        <v>2998</v>
      </c>
    </row>
    <row r="284" ht="12.75" customHeight="1">
      <c r="A284" s="19" t="s">
        <v>281</v>
      </c>
      <c r="B284" s="19" t="n">
        <v>2998</v>
      </c>
      <c r="D284" s="47" t="s">
        <v>141</v>
      </c>
      <c r="E284" s="47"/>
      <c r="F284" s="46" t="s">
        <f t="array" ref="F284">INDEX($D$1:$D$861,ROW()*2)</f>
        <v>282</v>
      </c>
      <c r="G284" s="46" t="e">
        <f t="array" ref="G284">INDEX($D$1:$D$861,ROW()*4-1)</f>
        <v>#REF!</v>
      </c>
      <c r="H284" s="46" t="n">
        <f t="array" ref="H284">INDEX($D$1:$D$861,ROW()*2-1)</f>
        <v>2998</v>
      </c>
    </row>
    <row r="285" ht="18" customHeight="1">
      <c r="A285" s="19" t="s">
        <v>282</v>
      </c>
      <c r="B285" s="19" t="n">
        <v>2972</v>
      </c>
      <c r="D285" s="50" t="n">
        <v>2.29</v>
      </c>
      <c r="E285" s="51"/>
      <c r="F285" s="46" t="s">
        <f t="array" ref="F285">INDEX($D$1:$D$861,ROW()*2)</f>
        <v>283</v>
      </c>
      <c r="G285" s="46" t="e">
        <f t="array" ref="G285">INDEX($D$1:$D$861,ROW()*4-1)</f>
        <v>#REF!</v>
      </c>
      <c r="H285" s="46" t="n">
        <f t="array" ref="H285">INDEX($D$1:$D$861,ROW()*2-1)</f>
        <v>2972</v>
      </c>
    </row>
    <row r="286" ht="12.75" customHeight="1">
      <c r="A286" s="19" t="s">
        <v>283</v>
      </c>
      <c r="B286" s="19" t="n">
        <v>2924</v>
      </c>
      <c r="D286" s="47" t="s">
        <v>142</v>
      </c>
      <c r="E286" s="47"/>
      <c r="F286" s="46" t="s">
        <f t="array" ref="F286">INDEX($D$1:$D$861,ROW()*2)</f>
        <v>284</v>
      </c>
      <c r="G286" s="46" t="e">
        <f t="array" ref="G286">INDEX($D$1:$D$861,ROW()*4-1)</f>
        <v>#REF!</v>
      </c>
      <c r="H286" s="46" t="n">
        <f t="array" ref="H286">INDEX($D$1:$D$861,ROW()*2-1)</f>
        <v>2924</v>
      </c>
    </row>
    <row r="287" ht="18" customHeight="1">
      <c r="A287" s="19" t="s">
        <v>284</v>
      </c>
      <c r="B287" s="19" t="n">
        <v>2924</v>
      </c>
      <c r="D287" s="50" t="n">
        <v>2.21</v>
      </c>
      <c r="E287" s="51"/>
      <c r="F287" s="46" t="s">
        <f t="array" ref="F287">INDEX($D$1:$D$861,ROW()*2)</f>
        <v>285</v>
      </c>
      <c r="G287" s="46" t="e">
        <f t="array" ref="G287">INDEX($D$1:$D$861,ROW()*4-1)</f>
        <v>#REF!</v>
      </c>
      <c r="H287" s="46" t="n">
        <f t="array" ref="H287">INDEX($D$1:$D$861,ROW()*2-1)</f>
        <v>2924</v>
      </c>
    </row>
    <row r="288" ht="12.75" customHeight="1">
      <c r="A288" s="19" t="s">
        <v>285</v>
      </c>
      <c r="B288" s="19" t="n">
        <v>2902</v>
      </c>
      <c r="D288" s="47" t="s">
        <v>143</v>
      </c>
      <c r="E288" s="47"/>
      <c r="F288" s="46" t="s">
        <f t="array" ref="F288">INDEX($D$1:$D$861,ROW()*2)</f>
        <v>286</v>
      </c>
      <c r="G288" s="46" t="e">
        <f t="array" ref="G288">INDEX($D$1:$D$861,ROW()*4-1)</f>
        <v>#REF!</v>
      </c>
      <c r="H288" s="46" t="n">
        <f t="array" ref="H288">INDEX($D$1:$D$861,ROW()*2-1)</f>
        <v>2902</v>
      </c>
    </row>
    <row r="289" ht="18" customHeight="1">
      <c r="A289" s="19" t="s">
        <v>286</v>
      </c>
      <c r="B289" s="19" t="n">
        <v>2880</v>
      </c>
      <c r="D289" s="50" t="n">
        <v>2.2</v>
      </c>
      <c r="E289" s="51"/>
      <c r="F289" s="46" t="s">
        <f t="array" ref="F289">INDEX($D$1:$D$861,ROW()*2)</f>
        <v>287</v>
      </c>
      <c r="G289" s="46" t="e">
        <f t="array" ref="G289">INDEX($D$1:$D$861,ROW()*4-1)</f>
        <v>#REF!</v>
      </c>
      <c r="H289" s="46" t="n">
        <f t="array" ref="H289">INDEX($D$1:$D$861,ROW()*2-1)</f>
        <v>2880</v>
      </c>
    </row>
    <row r="290" ht="12.75" customHeight="1">
      <c r="A290" s="19" t="s">
        <v>287</v>
      </c>
      <c r="B290" s="19" t="n">
        <v>2880</v>
      </c>
      <c r="D290" s="47" t="s">
        <v>144</v>
      </c>
      <c r="E290" s="47"/>
      <c r="F290" s="46" t="s">
        <f t="array" ref="F290">INDEX($D$1:$D$861,ROW()*2)</f>
        <v>288</v>
      </c>
      <c r="G290" s="46" t="e">
        <f t="array" ref="G290">INDEX($D$1:$D$861,ROW()*4-1)</f>
        <v>#REF!</v>
      </c>
      <c r="H290" s="46" t="n">
        <f t="array" ref="H290">INDEX($D$1:$D$861,ROW()*2-1)</f>
        <v>2880</v>
      </c>
    </row>
    <row r="291" ht="18" customHeight="1">
      <c r="A291" s="19" t="s">
        <v>288</v>
      </c>
      <c r="B291" s="19" t="n">
        <v>2880</v>
      </c>
      <c r="D291" s="50" t="n">
        <v>2.2</v>
      </c>
      <c r="E291" s="51"/>
      <c r="F291" s="46" t="s">
        <f t="array" ref="F291">INDEX($D$1:$D$861,ROW()*2)</f>
        <v>289</v>
      </c>
      <c r="G291" s="46" t="e">
        <f t="array" ref="G291">INDEX($D$1:$D$861,ROW()*4-1)</f>
        <v>#REF!</v>
      </c>
      <c r="H291" s="46" t="n">
        <f t="array" ref="H291">INDEX($D$1:$D$861,ROW()*2-1)</f>
        <v>2880</v>
      </c>
    </row>
    <row r="292" ht="12.75" customHeight="1">
      <c r="A292" s="19" t="s">
        <v>289</v>
      </c>
      <c r="B292" s="19" t="n">
        <v>2608</v>
      </c>
      <c r="D292" s="47" t="s">
        <v>145</v>
      </c>
      <c r="E292" s="47"/>
      <c r="F292" s="46" t="s">
        <f t="array" ref="F292">INDEX($D$1:$D$861,ROW()*2)</f>
        <v>290</v>
      </c>
      <c r="G292" s="46" t="e">
        <f t="array" ref="G292">INDEX($D$1:$D$861,ROW()*4-1)</f>
        <v>#REF!</v>
      </c>
      <c r="H292" s="46" t="n">
        <f t="array" ref="H292">INDEX($D$1:$D$861,ROW()*2-1)</f>
        <v>2608</v>
      </c>
    </row>
    <row r="293" ht="18" customHeight="1">
      <c r="A293" s="19" t="s">
        <v>290</v>
      </c>
      <c r="B293" s="19" t="n">
        <v>2599</v>
      </c>
      <c r="D293" s="50" t="n">
        <v>2.19</v>
      </c>
      <c r="E293" s="51"/>
      <c r="F293" s="46" t="s">
        <f t="array" ref="F293">INDEX($D$1:$D$861,ROW()*2)</f>
        <v>291</v>
      </c>
      <c r="G293" s="46" t="e">
        <f t="array" ref="G293">INDEX($D$1:$D$861,ROW()*4-1)</f>
        <v>#REF!</v>
      </c>
      <c r="H293" s="46" t="n">
        <f t="array" ref="H293">INDEX($D$1:$D$861,ROW()*2-1)</f>
        <v>2599</v>
      </c>
    </row>
    <row r="294" ht="12.75" customHeight="1">
      <c r="A294" s="19" t="s">
        <v>291</v>
      </c>
      <c r="B294" s="19" t="n">
        <v>2595</v>
      </c>
      <c r="D294" s="47" t="s">
        <v>146</v>
      </c>
      <c r="E294" s="47"/>
      <c r="F294" s="46" t="s">
        <f t="array" ref="F294">INDEX($D$1:$D$861,ROW()*2)</f>
        <v>292</v>
      </c>
      <c r="G294" s="46" t="e">
        <f t="array" ref="G294">INDEX($D$1:$D$861,ROW()*4-1)</f>
        <v>#REF!</v>
      </c>
      <c r="H294" s="46" t="n">
        <f t="array" ref="H294">INDEX($D$1:$D$861,ROW()*2-1)</f>
        <v>2595</v>
      </c>
    </row>
    <row r="295" ht="18" customHeight="1">
      <c r="A295" s="19" t="s">
        <v>292</v>
      </c>
      <c r="B295" s="19" t="n">
        <v>2495</v>
      </c>
      <c r="D295" s="50" t="n">
        <v>2.18</v>
      </c>
      <c r="E295" s="51"/>
      <c r="F295" s="46" t="s">
        <f t="array" ref="F295">INDEX($D$1:$D$861,ROW()*2)</f>
        <v>293</v>
      </c>
      <c r="G295" s="46" t="e">
        <f t="array" ref="G295">INDEX($D$1:$D$861,ROW()*4-1)</f>
        <v>#REF!</v>
      </c>
      <c r="H295" s="46" t="n">
        <f t="array" ref="H295">INDEX($D$1:$D$861,ROW()*2-1)</f>
        <v>2495</v>
      </c>
    </row>
    <row r="296" ht="12.75" customHeight="1">
      <c r="A296" s="19" t="s">
        <v>293</v>
      </c>
      <c r="B296" s="19" t="n">
        <v>2423</v>
      </c>
      <c r="D296" s="47" t="s">
        <v>147</v>
      </c>
      <c r="E296" s="47"/>
      <c r="F296" s="46" t="s">
        <f t="array" ref="F296">INDEX($D$1:$D$861,ROW()*2)</f>
        <v>294</v>
      </c>
      <c r="G296" s="46" t="e">
        <f t="array" ref="G296">INDEX($D$1:$D$861,ROW()*4-1)</f>
        <v>#REF!</v>
      </c>
      <c r="H296" s="46" t="n">
        <f t="array" ref="H296">INDEX($D$1:$D$861,ROW()*2-1)</f>
        <v>2423</v>
      </c>
    </row>
    <row r="297" ht="18" customHeight="1">
      <c r="A297" s="19" t="s">
        <v>294</v>
      </c>
      <c r="B297" s="19" t="n">
        <v>2409</v>
      </c>
      <c r="D297" s="50" t="n">
        <v>2.18</v>
      </c>
      <c r="E297" s="51"/>
      <c r="F297" s="46" t="s">
        <f t="array" ref="F297">INDEX($D$1:$D$861,ROW()*2)</f>
        <v>295</v>
      </c>
      <c r="G297" s="46" t="e">
        <f t="array" ref="G297">INDEX($D$1:$D$861,ROW()*4-1)</f>
        <v>#REF!</v>
      </c>
      <c r="H297" s="46" t="n">
        <f t="array" ref="H297">INDEX($D$1:$D$861,ROW()*2-1)</f>
        <v>2409</v>
      </c>
    </row>
    <row r="298" ht="12.75" customHeight="1">
      <c r="A298" s="19" t="s">
        <v>295</v>
      </c>
      <c r="B298" s="19" t="n">
        <v>2281</v>
      </c>
      <c r="D298" s="47" t="s">
        <v>148</v>
      </c>
      <c r="E298" s="47"/>
      <c r="F298" s="46" t="s">
        <f t="array" ref="F298">INDEX($D$1:$D$861,ROW()*2)</f>
        <v>296</v>
      </c>
      <c r="G298" s="46" t="e">
        <f t="array" ref="G298">INDEX($D$1:$D$861,ROW()*4-1)</f>
        <v>#REF!</v>
      </c>
      <c r="H298" s="46" t="n">
        <f t="array" ref="H298">INDEX($D$1:$D$861,ROW()*2-1)</f>
        <v>2281</v>
      </c>
    </row>
    <row r="299" ht="18" customHeight="1">
      <c r="A299" s="19" t="s">
        <v>296</v>
      </c>
      <c r="B299" s="19" t="n">
        <v>2227</v>
      </c>
      <c r="D299" s="50" t="n">
        <v>2.14</v>
      </c>
      <c r="E299" s="51"/>
      <c r="F299" s="46" t="s">
        <f t="array" ref="F299">INDEX($D$1:$D$861,ROW()*2)</f>
        <v>297</v>
      </c>
      <c r="G299" s="46" t="e">
        <f t="array" ref="G299">INDEX($D$1:$D$861,ROW()*4-1)</f>
        <v>#REF!</v>
      </c>
      <c r="H299" s="46" t="n">
        <f t="array" ref="H299">INDEX($D$1:$D$861,ROW()*2-1)</f>
        <v>2227</v>
      </c>
    </row>
    <row r="300" ht="12.75" customHeight="1">
      <c r="A300" s="19" t="s">
        <v>297</v>
      </c>
      <c r="B300" s="19" t="n">
        <v>2145</v>
      </c>
      <c r="D300" s="47" t="s">
        <v>149</v>
      </c>
      <c r="E300" s="47"/>
      <c r="F300" s="46" t="s">
        <f t="array" ref="F300">INDEX($D$1:$D$861,ROW()*2)</f>
        <v>298</v>
      </c>
      <c r="G300" s="46" t="e">
        <f t="array" ref="G300">INDEX($D$1:$D$861,ROW()*4-1)</f>
        <v>#REF!</v>
      </c>
      <c r="H300" s="46" t="n">
        <f t="array" ref="H300">INDEX($D$1:$D$861,ROW()*2-1)</f>
        <v>2145</v>
      </c>
    </row>
    <row r="301" ht="18" customHeight="1">
      <c r="A301" s="19" t="s">
        <v>298</v>
      </c>
      <c r="B301" s="19" t="n">
        <v>2144</v>
      </c>
      <c r="D301" s="50" t="n">
        <v>2.13</v>
      </c>
      <c r="E301" s="51"/>
      <c r="F301" s="46" t="s">
        <f t="array" ref="F301">INDEX($D$1:$D$861,ROW()*2)</f>
        <v>299</v>
      </c>
      <c r="G301" s="46" t="e">
        <f t="array" ref="G301">INDEX($D$1:$D$861,ROW()*4-1)</f>
        <v>#REF!</v>
      </c>
      <c r="H301" s="46" t="n">
        <f t="array" ref="H301">INDEX($D$1:$D$861,ROW()*2-1)</f>
        <v>2144</v>
      </c>
    </row>
    <row r="302" ht="12.75" customHeight="1">
      <c r="A302" s="19" t="s">
        <v>299</v>
      </c>
      <c r="B302" s="19" t="n">
        <v>2122</v>
      </c>
      <c r="D302" s="47" t="s">
        <v>150</v>
      </c>
      <c r="E302" s="47"/>
      <c r="F302" s="46" t="s">
        <f t="array" ref="F302">INDEX($D$1:$D$861,ROW()*2)</f>
        <v>300</v>
      </c>
      <c r="G302" s="46" t="e">
        <f t="array" ref="G302">INDEX($D$1:$D$861,ROW()*4-1)</f>
        <v>#REF!</v>
      </c>
      <c r="H302" s="46" t="n">
        <f t="array" ref="H302">INDEX($D$1:$D$861,ROW()*2-1)</f>
        <v>2122</v>
      </c>
    </row>
    <row r="303" ht="18" customHeight="1">
      <c r="A303" s="19" t="s">
        <v>300</v>
      </c>
      <c r="B303" s="19" t="n">
        <v>2112</v>
      </c>
      <c r="D303" s="50" t="n">
        <v>2.11</v>
      </c>
      <c r="E303" s="51"/>
      <c r="F303" s="46" t="s">
        <f t="array" ref="F303">INDEX($D$1:$D$861,ROW()*2)</f>
        <v>301</v>
      </c>
      <c r="G303" s="46" t="e">
        <f t="array" ref="G303">INDEX($D$1:$D$861,ROW()*4-1)</f>
        <v>#REF!</v>
      </c>
      <c r="H303" s="46" t="n">
        <f t="array" ref="H303">INDEX($D$1:$D$861,ROW()*2-1)</f>
        <v>2112</v>
      </c>
    </row>
    <row r="304" ht="12.75" customHeight="1">
      <c r="A304" s="19" t="s">
        <v>301</v>
      </c>
      <c r="B304" s="19" t="n">
        <v>2077</v>
      </c>
      <c r="D304" s="47" t="s">
        <v>151</v>
      </c>
      <c r="E304" s="47"/>
      <c r="F304" s="46" t="s">
        <f t="array" ref="F304">INDEX($D$1:$D$861,ROW()*2)</f>
        <v>302</v>
      </c>
      <c r="G304" s="46" t="e">
        <f t="array" ref="G304">INDEX($D$1:$D$861,ROW()*4-1)</f>
        <v>#REF!</v>
      </c>
      <c r="H304" s="46" t="n">
        <f t="array" ref="H304">INDEX($D$1:$D$861,ROW()*2-1)</f>
        <v>2077</v>
      </c>
    </row>
    <row r="305" ht="18" customHeight="1">
      <c r="A305" s="19" t="s">
        <v>302</v>
      </c>
      <c r="B305" s="19" t="n">
        <v>2014</v>
      </c>
      <c r="D305" s="50" t="n">
        <v>2.06</v>
      </c>
      <c r="E305" s="51"/>
      <c r="F305" s="46" t="s">
        <f t="array" ref="F305">INDEX($D$1:$D$861,ROW()*2)</f>
        <v>303</v>
      </c>
      <c r="G305" s="46" t="e">
        <f t="array" ref="G305">INDEX($D$1:$D$861,ROW()*4-1)</f>
        <v>#REF!</v>
      </c>
      <c r="H305" s="46" t="n">
        <f t="array" ref="H305">INDEX($D$1:$D$861,ROW()*2-1)</f>
        <v>2014</v>
      </c>
    </row>
    <row r="306" ht="12.75" customHeight="1">
      <c r="A306" s="19" t="s">
        <v>303</v>
      </c>
      <c r="B306" s="19" t="n">
        <v>1962</v>
      </c>
      <c r="D306" s="47" t="s">
        <v>152</v>
      </c>
      <c r="E306" s="47"/>
      <c r="F306" s="46" t="s">
        <f t="array" ref="F306">INDEX($D$1:$D$861,ROW()*2)</f>
        <v>304</v>
      </c>
      <c r="G306" s="46" t="e">
        <f t="array" ref="G306">INDEX($D$1:$D$861,ROW()*4-1)</f>
        <v>#REF!</v>
      </c>
      <c r="H306" s="46" t="n">
        <f t="array" ref="H306">INDEX($D$1:$D$861,ROW()*2-1)</f>
        <v>1962</v>
      </c>
    </row>
    <row r="307" ht="18" customHeight="1">
      <c r="A307" s="19" t="s">
        <v>304</v>
      </c>
      <c r="B307" s="19" t="n">
        <v>1941</v>
      </c>
      <c r="D307" s="50" t="n">
        <v>2.04</v>
      </c>
      <c r="E307" s="51"/>
      <c r="F307" s="46" t="s">
        <f t="array" ref="F307">INDEX($D$1:$D$861,ROW()*2)</f>
        <v>305</v>
      </c>
      <c r="G307" s="46" t="e">
        <f t="array" ref="G307">INDEX($D$1:$D$861,ROW()*4-1)</f>
        <v>#REF!</v>
      </c>
      <c r="H307" s="46" t="n">
        <f t="array" ref="H307">INDEX($D$1:$D$861,ROW()*2-1)</f>
        <v>1941</v>
      </c>
    </row>
    <row r="308" ht="12.75" customHeight="1">
      <c r="A308" s="19" t="s">
        <v>305</v>
      </c>
      <c r="B308" s="19" t="n">
        <v>1922</v>
      </c>
      <c r="D308" s="47" t="n">
        <v>18</v>
      </c>
      <c r="E308" s="47"/>
      <c r="F308" s="46" t="s">
        <f t="array" ref="F308">INDEX($D$1:$D$861,ROW()*2)</f>
        <v>306</v>
      </c>
      <c r="G308" s="46" t="e">
        <f t="array" ref="G308">INDEX($D$1:$D$861,ROW()*4-1)</f>
        <v>#REF!</v>
      </c>
      <c r="H308" s="46" t="n">
        <f t="array" ref="H308">INDEX($D$1:$D$861,ROW()*2-1)</f>
        <v>1922</v>
      </c>
    </row>
    <row r="309" ht="18" customHeight="1">
      <c r="A309" s="19" t="s">
        <v>306</v>
      </c>
      <c r="B309" s="19" t="n">
        <v>1896</v>
      </c>
      <c r="D309" s="50" t="n">
        <v>2.02</v>
      </c>
      <c r="E309" s="51"/>
      <c r="F309" s="46" t="s">
        <f t="array" ref="F309">INDEX($D$1:$D$861,ROW()*2)</f>
        <v>307</v>
      </c>
      <c r="G309" s="46" t="e">
        <f t="array" ref="G309">INDEX($D$1:$D$861,ROW()*4-1)</f>
        <v>#REF!</v>
      </c>
      <c r="H309" s="46" t="n">
        <f t="array" ref="H309">INDEX($D$1:$D$861,ROW()*2-1)</f>
        <v>1896</v>
      </c>
    </row>
    <row r="310" ht="12.75" customHeight="1">
      <c r="A310" s="19" t="s">
        <v>307</v>
      </c>
      <c r="B310" s="19" t="n">
        <v>1896</v>
      </c>
      <c r="D310" s="47" t="s">
        <v>153</v>
      </c>
      <c r="E310" s="47"/>
      <c r="F310" s="46" t="s">
        <f t="array" ref="F310">INDEX($D$1:$D$861,ROW()*2)</f>
        <v>308</v>
      </c>
      <c r="G310" s="46" t="e">
        <f t="array" ref="G310">INDEX($D$1:$D$861,ROW()*4-1)</f>
        <v>#REF!</v>
      </c>
      <c r="H310" s="46" t="n">
        <f t="array" ref="H310">INDEX($D$1:$D$861,ROW()*2-1)</f>
        <v>1896</v>
      </c>
    </row>
    <row r="311" ht="18" customHeight="1">
      <c r="A311" s="19" t="s">
        <v>308</v>
      </c>
      <c r="B311" s="19" t="n">
        <v>1857</v>
      </c>
      <c r="D311" s="50" t="n">
        <v>2.02</v>
      </c>
      <c r="E311" s="51"/>
      <c r="F311" s="46" t="s">
        <f t="array" ref="F311">INDEX($D$1:$D$861,ROW()*2)</f>
        <v>309</v>
      </c>
      <c r="G311" s="46" t="e">
        <f t="array" ref="G311">INDEX($D$1:$D$861,ROW()*4-1)</f>
        <v>#REF!</v>
      </c>
      <c r="H311" s="46" t="n">
        <f t="array" ref="H311">INDEX($D$1:$D$861,ROW()*2-1)</f>
        <v>1857</v>
      </c>
    </row>
    <row r="312" ht="12.75" customHeight="1">
      <c r="A312" s="19" t="s">
        <v>309</v>
      </c>
      <c r="B312" s="19" t="n">
        <v>1812</v>
      </c>
      <c r="D312" s="47" t="s">
        <v>154</v>
      </c>
      <c r="E312" s="47"/>
      <c r="F312" s="46" t="s">
        <f t="array" ref="F312">INDEX($D$1:$D$861,ROW()*2)</f>
        <v>310</v>
      </c>
      <c r="G312" s="46" t="e">
        <f t="array" ref="G312">INDEX($D$1:$D$861,ROW()*4-1)</f>
        <v>#REF!</v>
      </c>
      <c r="H312" s="46" t="n">
        <f t="array" ref="H312">INDEX($D$1:$D$861,ROW()*2-1)</f>
        <v>1812</v>
      </c>
    </row>
    <row r="313" ht="18" customHeight="1">
      <c r="A313" s="19" t="s">
        <v>310</v>
      </c>
      <c r="B313" s="19" t="n">
        <v>1774</v>
      </c>
      <c r="D313" s="50" t="n">
        <v>2.01</v>
      </c>
      <c r="E313" s="51"/>
      <c r="F313" s="46" t="s">
        <f t="array" ref="F313">INDEX($D$1:$D$861,ROW()*2)</f>
        <v>311</v>
      </c>
      <c r="G313" s="46" t="e">
        <f t="array" ref="G313">INDEX($D$1:$D$861,ROW()*4-1)</f>
        <v>#REF!</v>
      </c>
      <c r="H313" s="46" t="n">
        <f t="array" ref="H313">INDEX($D$1:$D$861,ROW()*2-1)</f>
        <v>1774</v>
      </c>
    </row>
    <row r="314" ht="12.75" customHeight="1">
      <c r="A314" s="19" t="s">
        <v>311</v>
      </c>
      <c r="B314" s="19" t="n">
        <v>1768</v>
      </c>
      <c r="D314" s="47" t="s">
        <v>155</v>
      </c>
      <c r="E314" s="47"/>
      <c r="F314" s="46" t="s">
        <f t="array" ref="F314">INDEX($D$1:$D$861,ROW()*2)</f>
        <v>312</v>
      </c>
      <c r="G314" s="46" t="e">
        <f t="array" ref="G314">INDEX($D$1:$D$861,ROW()*4-1)</f>
        <v>#REF!</v>
      </c>
      <c r="H314" s="46" t="n">
        <f t="array" ref="H314">INDEX($D$1:$D$861,ROW()*2-1)</f>
        <v>1768</v>
      </c>
    </row>
    <row r="315" ht="18" customHeight="1">
      <c r="A315" s="19" t="s">
        <v>312</v>
      </c>
      <c r="B315" s="19" t="n">
        <v>1698</v>
      </c>
      <c r="D315" s="50" t="n">
        <v>2.01</v>
      </c>
      <c r="E315" s="51"/>
      <c r="F315" s="46" t="s">
        <f t="array" ref="F315">INDEX($D$1:$D$861,ROW()*2)</f>
        <v>313</v>
      </c>
      <c r="G315" s="46" t="e">
        <f t="array" ref="G315">INDEX($D$1:$D$861,ROW()*4-1)</f>
        <v>#REF!</v>
      </c>
      <c r="H315" s="46" t="n">
        <f t="array" ref="H315">INDEX($D$1:$D$861,ROW()*2-1)</f>
        <v>1698</v>
      </c>
    </row>
    <row r="316" ht="12.75" customHeight="1">
      <c r="A316" s="19" t="s">
        <v>313</v>
      </c>
      <c r="B316" s="19" t="n">
        <v>1695</v>
      </c>
      <c r="D316" s="47" t="s">
        <v>156</v>
      </c>
      <c r="E316" s="47"/>
      <c r="F316" s="46" t="s">
        <f t="array" ref="F316">INDEX($D$1:$D$861,ROW()*2)</f>
        <v>314</v>
      </c>
      <c r="G316" s="46" t="e">
        <f t="array" ref="G316">INDEX($D$1:$D$861,ROW()*4-1)</f>
        <v>#REF!</v>
      </c>
      <c r="H316" s="46" t="n">
        <f t="array" ref="H316">INDEX($D$1:$D$861,ROW()*2-1)</f>
        <v>1695</v>
      </c>
    </row>
    <row r="317" ht="18" customHeight="1">
      <c r="A317" s="19" t="s">
        <v>314</v>
      </c>
      <c r="B317" s="19" t="n">
        <v>1649</v>
      </c>
      <c r="D317" s="50" t="n">
        <v>1.92</v>
      </c>
      <c r="E317" s="51"/>
      <c r="F317" s="46" t="s">
        <f t="array" ref="F317">INDEX($D$1:$D$861,ROW()*2)</f>
        <v>315</v>
      </c>
      <c r="G317" s="46" t="e">
        <f t="array" ref="G317">INDEX($D$1:$D$861,ROW()*4-1)</f>
        <v>#REF!</v>
      </c>
      <c r="H317" s="46" t="n">
        <f t="array" ref="H317">INDEX($D$1:$D$861,ROW()*2-1)</f>
        <v>1649</v>
      </c>
    </row>
    <row r="318" ht="12.75" customHeight="1">
      <c r="A318" s="19" t="s">
        <v>315</v>
      </c>
      <c r="B318" s="19" t="n">
        <v>1628</v>
      </c>
      <c r="D318" s="47" t="s">
        <v>157</v>
      </c>
      <c r="E318" s="47"/>
      <c r="F318" s="46" t="s">
        <f t="array" ref="F318">INDEX($D$1:$D$861,ROW()*2)</f>
        <v>316</v>
      </c>
      <c r="G318" s="46" t="e">
        <f t="array" ref="G318">INDEX($D$1:$D$861,ROW()*4-1)</f>
        <v>#REF!</v>
      </c>
      <c r="H318" s="46" t="n">
        <f t="array" ref="H318">INDEX($D$1:$D$861,ROW()*2-1)</f>
        <v>1628</v>
      </c>
    </row>
    <row r="319" ht="18" customHeight="1">
      <c r="A319" s="19" t="s">
        <v>316</v>
      </c>
      <c r="B319" s="19" t="n">
        <v>1564</v>
      </c>
      <c r="D319" s="50" t="n">
        <v>1.89</v>
      </c>
      <c r="E319" s="51"/>
      <c r="F319" s="46" t="s">
        <f t="array" ref="F319">INDEX($D$1:$D$861,ROW()*2)</f>
        <v>317</v>
      </c>
      <c r="G319" s="46" t="e">
        <f t="array" ref="G319">INDEX($D$1:$D$861,ROW()*4-1)</f>
        <v>#REF!</v>
      </c>
      <c r="H319" s="46" t="n">
        <f t="array" ref="H319">INDEX($D$1:$D$861,ROW()*2-1)</f>
        <v>1564</v>
      </c>
    </row>
    <row r="320" ht="12.75" customHeight="1">
      <c r="A320" s="19" t="s">
        <v>317</v>
      </c>
      <c r="B320" s="19" t="n">
        <v>1552</v>
      </c>
      <c r="D320" s="47" t="s">
        <v>158</v>
      </c>
      <c r="E320" s="47"/>
      <c r="F320" s="46" t="s">
        <f t="array" ref="F320">INDEX($D$1:$D$861,ROW()*2)</f>
        <v>318</v>
      </c>
      <c r="G320" s="46" t="e">
        <f t="array" ref="G320">INDEX($D$1:$D$861,ROW()*4-1)</f>
        <v>#REF!</v>
      </c>
      <c r="H320" s="46" t="n">
        <f t="array" ref="H320">INDEX($D$1:$D$861,ROW()*2-1)</f>
        <v>1552</v>
      </c>
    </row>
    <row r="321" ht="18" customHeight="1">
      <c r="A321" s="19" t="s">
        <v>318</v>
      </c>
      <c r="B321" s="19" t="n">
        <v>1538</v>
      </c>
      <c r="D321" s="50" t="n">
        <v>1.87</v>
      </c>
      <c r="E321" s="51"/>
      <c r="F321" s="46" t="s">
        <f t="array" ref="F321">INDEX($D$1:$D$861,ROW()*2)</f>
        <v>319</v>
      </c>
      <c r="G321" s="46" t="e">
        <f t="array" ref="G321">INDEX($D$1:$D$861,ROW()*4-1)</f>
        <v>#REF!</v>
      </c>
      <c r="H321" s="46" t="n">
        <f t="array" ref="H321">INDEX($D$1:$D$861,ROW()*2-1)</f>
        <v>1538</v>
      </c>
    </row>
    <row r="322" ht="12.75" customHeight="1">
      <c r="A322" s="19" t="s">
        <v>319</v>
      </c>
      <c r="B322" s="19" t="n">
        <v>1457</v>
      </c>
      <c r="D322" s="47" t="s">
        <v>159</v>
      </c>
      <c r="E322" s="47"/>
      <c r="F322" s="46" t="s">
        <f t="array" ref="F322">INDEX($D$1:$D$861,ROW()*2)</f>
        <v>320</v>
      </c>
      <c r="G322" s="46" t="e">
        <f t="array" ref="G322">INDEX($D$1:$D$861,ROW()*4-1)</f>
        <v>#REF!</v>
      </c>
      <c r="H322" s="46" t="n">
        <f t="array" ref="H322">INDEX($D$1:$D$861,ROW()*2-1)</f>
        <v>1457</v>
      </c>
    </row>
    <row r="323" ht="18" customHeight="1">
      <c r="A323" s="19" t="s">
        <v>320</v>
      </c>
      <c r="B323" s="19" t="n">
        <v>1447</v>
      </c>
      <c r="D323" s="50" t="n">
        <v>1.83</v>
      </c>
      <c r="E323" s="51"/>
      <c r="F323" s="46" t="s">
        <f t="array" ref="F323">INDEX($D$1:$D$861,ROW()*2)</f>
        <v>321</v>
      </c>
      <c r="G323" s="46" t="e">
        <f t="array" ref="G323">INDEX($D$1:$D$861,ROW()*4-1)</f>
        <v>#REF!</v>
      </c>
      <c r="H323" s="46" t="n">
        <f t="array" ref="H323">INDEX($D$1:$D$861,ROW()*2-1)</f>
        <v>1447</v>
      </c>
    </row>
    <row r="324" ht="12.75" customHeight="1">
      <c r="A324" s="19" t="s">
        <v>321</v>
      </c>
      <c r="B324" s="19" t="n">
        <v>1442</v>
      </c>
      <c r="D324" s="47" t="s">
        <v>160</v>
      </c>
      <c r="E324" s="47"/>
      <c r="F324" s="46" t="s">
        <f t="array" ref="F324">INDEX($D$1:$D$861,ROW()*2)</f>
        <v>322</v>
      </c>
      <c r="G324" s="46" t="e">
        <f t="array" ref="G324">INDEX($D$1:$D$861,ROW()*4-1)</f>
        <v>#REF!</v>
      </c>
      <c r="H324" s="46" t="n">
        <f t="array" ref="H324">INDEX($D$1:$D$861,ROW()*2-1)</f>
        <v>1442</v>
      </c>
    </row>
    <row r="325" ht="18" customHeight="1">
      <c r="A325" s="19" t="s">
        <v>322</v>
      </c>
      <c r="B325" s="19" t="n">
        <v>1380</v>
      </c>
      <c r="D325" s="50" t="n">
        <v>1.83</v>
      </c>
      <c r="E325" s="51"/>
      <c r="F325" s="46" t="s">
        <f t="array" ref="F325">INDEX($D$1:$D$861,ROW()*2)</f>
        <v>323</v>
      </c>
      <c r="G325" s="46" t="e">
        <f t="array" ref="G325">INDEX($D$1:$D$861,ROW()*4-1)</f>
        <v>#REF!</v>
      </c>
      <c r="H325" s="46" t="n">
        <f t="array" ref="H325">INDEX($D$1:$D$861,ROW()*2-1)</f>
        <v>1380</v>
      </c>
    </row>
    <row r="326" ht="12.75" customHeight="1">
      <c r="A326" s="19" t="s">
        <v>323</v>
      </c>
      <c r="B326" s="19" t="n">
        <v>1375</v>
      </c>
      <c r="D326" s="47" t="s">
        <v>161</v>
      </c>
      <c r="E326" s="47"/>
      <c r="F326" s="46" t="s">
        <f t="array" ref="F326">INDEX($D$1:$D$861,ROW()*2)</f>
        <v>324</v>
      </c>
      <c r="G326" s="46" t="e">
        <f t="array" ref="G326">INDEX($D$1:$D$861,ROW()*4-1)</f>
        <v>#REF!</v>
      </c>
      <c r="H326" s="46" t="n">
        <f t="array" ref="H326">INDEX($D$1:$D$861,ROW()*2-1)</f>
        <v>1375</v>
      </c>
    </row>
    <row r="327" ht="18" customHeight="1">
      <c r="A327" s="19" t="s">
        <v>324</v>
      </c>
      <c r="B327" s="19" t="n">
        <v>1354</v>
      </c>
      <c r="D327" s="50" t="n">
        <v>1.79</v>
      </c>
      <c r="E327" s="51"/>
      <c r="F327" s="46" t="s">
        <f t="array" ref="F327">INDEX($D$1:$D$861,ROW()*2)</f>
        <v>325</v>
      </c>
      <c r="G327" s="46" t="e">
        <f t="array" ref="G327">INDEX($D$1:$D$861,ROW()*4-1)</f>
        <v>#REF!</v>
      </c>
      <c r="H327" s="46" t="n">
        <f t="array" ref="H327">INDEX($D$1:$D$861,ROW()*2-1)</f>
        <v>1354</v>
      </c>
    </row>
    <row r="328" ht="12.75" customHeight="1">
      <c r="A328" s="19" t="s">
        <v>325</v>
      </c>
      <c r="B328" s="19" t="n">
        <v>1340</v>
      </c>
      <c r="D328" s="47" t="s">
        <v>162</v>
      </c>
      <c r="E328" s="47"/>
      <c r="F328" s="46" t="s">
        <f t="array" ref="F328">INDEX($D$1:$D$861,ROW()*2)</f>
        <v>326</v>
      </c>
      <c r="G328" s="46" t="e">
        <f t="array" ref="G328">INDEX($D$1:$D$861,ROW()*4-1)</f>
        <v>#REF!</v>
      </c>
      <c r="H328" s="46" t="n">
        <f t="array" ref="H328">INDEX($D$1:$D$861,ROW()*2-1)</f>
        <v>1340</v>
      </c>
    </row>
    <row r="329" ht="18" customHeight="1">
      <c r="A329" s="19" t="s">
        <v>326</v>
      </c>
      <c r="B329" s="19" t="n">
        <v>1332</v>
      </c>
      <c r="D329" s="50" t="n">
        <v>1.79</v>
      </c>
      <c r="E329" s="51"/>
      <c r="F329" s="46" t="s">
        <f t="array" ref="F329">INDEX($D$1:$D$861,ROW()*2)</f>
        <v>327</v>
      </c>
      <c r="G329" s="46" t="e">
        <f t="array" ref="G329">INDEX($D$1:$D$861,ROW()*4-1)</f>
        <v>#REF!</v>
      </c>
      <c r="H329" s="46" t="n">
        <f t="array" ref="H329">INDEX($D$1:$D$861,ROW()*2-1)</f>
        <v>1332</v>
      </c>
    </row>
    <row r="330" ht="12.75" customHeight="1">
      <c r="A330" s="19" t="s">
        <v>327</v>
      </c>
      <c r="B330" s="19" t="n">
        <v>1332</v>
      </c>
      <c r="D330" s="47" t="s">
        <v>163</v>
      </c>
      <c r="E330" s="47"/>
      <c r="F330" s="46" t="s">
        <f t="array" ref="F330">INDEX($D$1:$D$861,ROW()*2)</f>
        <v>328</v>
      </c>
      <c r="G330" s="46" t="e">
        <f t="array" ref="G330">INDEX($D$1:$D$861,ROW()*4-1)</f>
        <v>#REF!</v>
      </c>
      <c r="H330" s="46" t="n">
        <f t="array" ref="H330">INDEX($D$1:$D$861,ROW()*2-1)</f>
        <v>1332</v>
      </c>
    </row>
    <row r="331" ht="18" customHeight="1">
      <c r="A331" s="19" t="s">
        <v>328</v>
      </c>
      <c r="B331" s="19" t="n">
        <v>1291</v>
      </c>
      <c r="D331" s="50" t="n">
        <v>1.77</v>
      </c>
      <c r="E331" s="51"/>
      <c r="F331" s="46" t="s">
        <f t="array" ref="F331">INDEX($D$1:$D$861,ROW()*2)</f>
        <v>329</v>
      </c>
      <c r="G331" s="46" t="e">
        <f t="array" ref="G331">INDEX($D$1:$D$861,ROW()*4-1)</f>
        <v>#REF!</v>
      </c>
      <c r="H331" s="46" t="n">
        <f t="array" ref="H331">INDEX($D$1:$D$861,ROW()*2-1)</f>
        <v>1291</v>
      </c>
    </row>
    <row r="332" ht="12.75" customHeight="1">
      <c r="A332" s="19" t="s">
        <v>329</v>
      </c>
      <c r="B332" s="19" t="n">
        <v>1243</v>
      </c>
      <c r="D332" s="47" t="s">
        <v>164</v>
      </c>
      <c r="E332" s="47"/>
      <c r="F332" s="46" t="s">
        <f t="array" ref="F332">INDEX($D$1:$D$861,ROW()*2)</f>
        <v>330</v>
      </c>
      <c r="G332" s="46" t="e">
        <f t="array" ref="G332">INDEX($D$1:$D$861,ROW()*4-1)</f>
        <v>#REF!</v>
      </c>
      <c r="H332" s="46" t="n">
        <f t="array" ref="H332">INDEX($D$1:$D$861,ROW()*2-1)</f>
        <v>1243</v>
      </c>
    </row>
    <row r="333" ht="18" customHeight="1">
      <c r="A333" s="19" t="s">
        <v>330</v>
      </c>
      <c r="B333" s="19" t="n">
        <v>1167</v>
      </c>
      <c r="D333" s="50" t="n">
        <v>1.73</v>
      </c>
      <c r="E333" s="51"/>
      <c r="F333" s="46" t="s">
        <f t="array" ref="F333">INDEX($D$1:$D$861,ROW()*2)</f>
        <v>331</v>
      </c>
      <c r="G333" s="46" t="e">
        <f t="array" ref="G333">INDEX($D$1:$D$861,ROW()*4-1)</f>
        <v>#REF!</v>
      </c>
      <c r="H333" s="46" t="n">
        <f t="array" ref="H333">INDEX($D$1:$D$861,ROW()*2-1)</f>
        <v>1167</v>
      </c>
    </row>
    <row r="334" ht="12.75" customHeight="1">
      <c r="A334" s="19" t="s">
        <v>331</v>
      </c>
      <c r="B334" s="19" t="n">
        <v>1078</v>
      </c>
      <c r="D334" s="47" t="s">
        <v>165</v>
      </c>
      <c r="E334" s="47"/>
      <c r="F334" s="46" t="s">
        <f t="array" ref="F334">INDEX($D$1:$D$861,ROW()*2)</f>
        <v>332</v>
      </c>
      <c r="G334" s="46" t="e">
        <f t="array" ref="G334">INDEX($D$1:$D$861,ROW()*4-1)</f>
        <v>#REF!</v>
      </c>
      <c r="H334" s="46" t="n">
        <f t="array" ref="H334">INDEX($D$1:$D$861,ROW()*2-1)</f>
        <v>1078</v>
      </c>
    </row>
    <row r="335" ht="18" customHeight="1">
      <c r="A335" s="19" t="s">
        <v>332</v>
      </c>
      <c r="B335" s="19" t="n">
        <v>1040</v>
      </c>
      <c r="D335" s="50" t="n">
        <v>1.71</v>
      </c>
      <c r="E335" s="51"/>
      <c r="F335" s="46" t="s">
        <f t="array" ref="F335">INDEX($D$1:$D$861,ROW()*2)</f>
        <v>333</v>
      </c>
      <c r="G335" s="46" t="e">
        <f t="array" ref="G335">INDEX($D$1:$D$861,ROW()*4-1)</f>
        <v>#REF!</v>
      </c>
      <c r="H335" s="46" t="n">
        <f t="array" ref="H335">INDEX($D$1:$D$861,ROW()*2-1)</f>
        <v>1040</v>
      </c>
    </row>
    <row r="336" ht="12.75" customHeight="1">
      <c r="A336" s="19" t="s">
        <v>333</v>
      </c>
      <c r="B336" s="19" t="n">
        <v>1040</v>
      </c>
      <c r="D336" s="47" t="s">
        <v>166</v>
      </c>
      <c r="E336" s="47"/>
      <c r="F336" s="46" t="s">
        <f t="array" ref="F336">INDEX($D$1:$D$861,ROW()*2)</f>
        <v>334</v>
      </c>
      <c r="G336" s="46" t="e">
        <f t="array" ref="G336">INDEX($D$1:$D$861,ROW()*4-1)</f>
        <v>#REF!</v>
      </c>
      <c r="H336" s="46" t="n">
        <f t="array" ref="H336">INDEX($D$1:$D$861,ROW()*2-1)</f>
        <v>1040</v>
      </c>
    </row>
    <row r="337" ht="18" customHeight="1">
      <c r="A337" s="19" t="s">
        <v>334</v>
      </c>
      <c r="B337" s="19" t="n">
        <v>1025</v>
      </c>
      <c r="D337" s="50" t="n">
        <v>1.71</v>
      </c>
      <c r="E337" s="51"/>
      <c r="F337" s="46" t="s">
        <f t="array" ref="F337">INDEX($D$1:$D$861,ROW()*2)</f>
        <v>335</v>
      </c>
      <c r="G337" s="46" t="e">
        <f t="array" ref="G337">INDEX($D$1:$D$861,ROW()*4-1)</f>
        <v>#REF!</v>
      </c>
      <c r="H337" s="46" t="n">
        <f t="array" ref="H337">INDEX($D$1:$D$861,ROW()*2-1)</f>
        <v>1025</v>
      </c>
    </row>
    <row r="338" ht="12.75" customHeight="1">
      <c r="A338" s="19" t="s">
        <v>335</v>
      </c>
      <c r="B338" s="19" t="n">
        <v>1016</v>
      </c>
      <c r="D338" s="47" t="s">
        <v>167</v>
      </c>
      <c r="E338" s="47"/>
      <c r="F338" s="46" t="s">
        <f t="array" ref="F338">INDEX($D$1:$D$861,ROW()*2)</f>
        <v>336</v>
      </c>
      <c r="G338" s="46" t="e">
        <f t="array" ref="G338">INDEX($D$1:$D$861,ROW()*4-1)</f>
        <v>#REF!</v>
      </c>
      <c r="H338" s="46" t="n">
        <f t="array" ref="H338">INDEX($D$1:$D$861,ROW()*2-1)</f>
        <v>1016</v>
      </c>
    </row>
    <row r="339" ht="18" customHeight="1">
      <c r="A339" s="19" t="s">
        <v>336</v>
      </c>
      <c r="B339" s="19" t="n">
        <v>987</v>
      </c>
      <c r="D339" s="50" t="n">
        <v>1.7</v>
      </c>
      <c r="E339" s="51"/>
      <c r="F339" s="46" t="s">
        <f t="array" ref="F339">INDEX($D$1:$D$861,ROW()*2)</f>
        <v>337</v>
      </c>
      <c r="G339" s="46" t="e">
        <f t="array" ref="G339">INDEX($D$1:$D$861,ROW()*4-1)</f>
        <v>#REF!</v>
      </c>
      <c r="H339" s="46" t="n">
        <f t="array" ref="H339">INDEX($D$1:$D$861,ROW()*2-1)</f>
        <v>987</v>
      </c>
    </row>
    <row r="340" ht="12.75" customHeight="1">
      <c r="A340" s="19" t="s">
        <v>337</v>
      </c>
      <c r="B340" s="19" t="n">
        <v>965</v>
      </c>
      <c r="D340" s="47" t="s">
        <v>168</v>
      </c>
      <c r="E340" s="47"/>
      <c r="F340" s="46" t="s">
        <f t="array" ref="F340">INDEX($D$1:$D$861,ROW()*2)</f>
        <v>338</v>
      </c>
      <c r="G340" s="46" t="e">
        <f t="array" ref="G340">INDEX($D$1:$D$861,ROW()*4-1)</f>
        <v>#REF!</v>
      </c>
      <c r="H340" s="46" t="n">
        <f t="array" ref="H340">INDEX($D$1:$D$861,ROW()*2-1)</f>
        <v>965</v>
      </c>
    </row>
    <row r="341" ht="18" customHeight="1">
      <c r="A341" s="19" t="s">
        <v>338</v>
      </c>
      <c r="B341" s="19" t="n">
        <v>935</v>
      </c>
      <c r="D341" s="50" t="n">
        <v>1.66</v>
      </c>
      <c r="E341" s="51"/>
      <c r="F341" s="46" t="s">
        <f t="array" ref="F341">INDEX($D$1:$D$861,ROW()*2)</f>
        <v>339</v>
      </c>
      <c r="G341" s="46" t="e">
        <f t="array" ref="G341">INDEX($D$1:$D$861,ROW()*4-1)</f>
        <v>#REF!</v>
      </c>
      <c r="H341" s="46" t="n">
        <f t="array" ref="H341">INDEX($D$1:$D$861,ROW()*2-1)</f>
        <v>935</v>
      </c>
    </row>
    <row r="342" ht="12.75" customHeight="1">
      <c r="A342" s="19" t="s">
        <v>339</v>
      </c>
      <c r="B342" s="19" t="n">
        <v>932</v>
      </c>
      <c r="D342" s="47" t="s">
        <v>169</v>
      </c>
      <c r="E342" s="47"/>
      <c r="F342" s="46" t="s">
        <f t="array" ref="F342">INDEX($D$1:$D$861,ROW()*2)</f>
        <v>340</v>
      </c>
      <c r="G342" s="46" t="e">
        <f t="array" ref="G342">INDEX($D$1:$D$861,ROW()*4-1)</f>
        <v>#REF!</v>
      </c>
      <c r="H342" s="46" t="n">
        <f t="array" ref="H342">INDEX($D$1:$D$861,ROW()*2-1)</f>
        <v>932</v>
      </c>
    </row>
    <row r="343" ht="18" customHeight="1">
      <c r="A343" s="19" t="s">
        <v>340</v>
      </c>
      <c r="B343" s="19" t="n">
        <v>932</v>
      </c>
      <c r="D343" s="50" t="n">
        <v>1.66</v>
      </c>
      <c r="E343" s="51"/>
      <c r="F343" s="46" t="s">
        <f t="array" ref="F343">INDEX($D$1:$D$861,ROW()*2)</f>
        <v>341</v>
      </c>
      <c r="G343" s="46" t="e">
        <f t="array" ref="G343">INDEX($D$1:$D$861,ROW()*4-1)</f>
        <v>#REF!</v>
      </c>
      <c r="H343" s="46" t="n">
        <f t="array" ref="H343">INDEX($D$1:$D$861,ROW()*2-1)</f>
        <v>932</v>
      </c>
    </row>
    <row r="344" ht="12.75" customHeight="1">
      <c r="A344" s="19" t="s">
        <v>341</v>
      </c>
      <c r="B344" s="19" t="n">
        <v>888</v>
      </c>
      <c r="D344" s="47" t="s">
        <v>170</v>
      </c>
      <c r="E344" s="47"/>
      <c r="F344" s="46" t="s">
        <f t="array" ref="F344">INDEX($D$1:$D$861,ROW()*2)</f>
        <v>342</v>
      </c>
      <c r="G344" s="46" t="e">
        <f t="array" ref="G344">INDEX($D$1:$D$861,ROW()*4-1)</f>
        <v>#REF!</v>
      </c>
      <c r="H344" s="46" t="n">
        <f t="array" ref="H344">INDEX($D$1:$D$861,ROW()*2-1)</f>
        <v>888</v>
      </c>
    </row>
    <row r="345" ht="18" customHeight="1">
      <c r="A345" s="19" t="s">
        <v>342</v>
      </c>
      <c r="B345" s="19" t="n">
        <v>869</v>
      </c>
      <c r="D345" s="50" t="n">
        <v>1.66</v>
      </c>
      <c r="E345" s="51"/>
      <c r="F345" s="46" t="s">
        <f t="array" ref="F345">INDEX($D$1:$D$861,ROW()*2)</f>
        <v>343</v>
      </c>
      <c r="G345" s="46" t="e">
        <f t="array" ref="G345">INDEX($D$1:$D$861,ROW()*4-1)</f>
        <v>#REF!</v>
      </c>
      <c r="H345" s="46" t="n">
        <f t="array" ref="H345">INDEX($D$1:$D$861,ROW()*2-1)</f>
        <v>869</v>
      </c>
    </row>
    <row r="346" ht="12.75" customHeight="1">
      <c r="A346" s="19" t="s">
        <v>343</v>
      </c>
      <c r="B346" s="19" t="n">
        <v>863</v>
      </c>
      <c r="D346" s="47" t="s">
        <v>171</v>
      </c>
      <c r="E346" s="47"/>
      <c r="F346" s="46" t="s">
        <f t="array" ref="F346">INDEX($D$1:$D$861,ROW()*2)</f>
        <v>344</v>
      </c>
      <c r="G346" s="46" t="e">
        <f t="array" ref="G346">INDEX($D$1:$D$861,ROW()*4-1)</f>
        <v>#REF!</v>
      </c>
      <c r="H346" s="46" t="n">
        <f t="array" ref="H346">INDEX($D$1:$D$861,ROW()*2-1)</f>
        <v>863</v>
      </c>
    </row>
    <row r="347" ht="18" customHeight="1">
      <c r="A347" s="19" t="s">
        <v>344</v>
      </c>
      <c r="B347" s="19" t="n">
        <v>863</v>
      </c>
      <c r="D347" s="50" t="n">
        <v>1.66</v>
      </c>
      <c r="E347" s="51"/>
      <c r="F347" s="46" t="s">
        <f t="array" ref="F347">INDEX($D$1:$D$861,ROW()*2)</f>
        <v>345</v>
      </c>
      <c r="G347" s="46" t="e">
        <f t="array" ref="G347">INDEX($D$1:$D$861,ROW()*4-1)</f>
        <v>#REF!</v>
      </c>
      <c r="H347" s="46" t="n">
        <f t="array" ref="H347">INDEX($D$1:$D$861,ROW()*2-1)</f>
        <v>863</v>
      </c>
    </row>
    <row r="348" ht="12.75" customHeight="1">
      <c r="A348" s="19" t="s">
        <v>345</v>
      </c>
      <c r="B348" s="19" t="n">
        <v>854</v>
      </c>
      <c r="D348" s="47" t="s">
        <v>172</v>
      </c>
      <c r="E348" s="47"/>
      <c r="F348" s="46" t="s">
        <f t="array" ref="F348">INDEX($D$1:$D$861,ROW()*2)</f>
        <v>346</v>
      </c>
      <c r="G348" s="46" t="e">
        <f t="array" ref="G348">INDEX($D$1:$D$861,ROW()*4-1)</f>
        <v>#REF!</v>
      </c>
      <c r="H348" s="46" t="n">
        <f t="array" ref="H348">INDEX($D$1:$D$861,ROW()*2-1)</f>
        <v>854</v>
      </c>
    </row>
    <row r="349" ht="18" customHeight="1">
      <c r="A349" s="19" t="s">
        <v>346</v>
      </c>
      <c r="B349" s="19" t="n">
        <v>827</v>
      </c>
      <c r="D349" s="50" t="n">
        <v>1.64</v>
      </c>
      <c r="E349" s="51"/>
      <c r="F349" s="46" t="s">
        <f t="array" ref="F349">INDEX($D$1:$D$861,ROW()*2)</f>
        <v>347</v>
      </c>
      <c r="G349" s="46" t="e">
        <f t="array" ref="G349">INDEX($D$1:$D$861,ROW()*4-1)</f>
        <v>#REF!</v>
      </c>
      <c r="H349" s="46" t="n">
        <f t="array" ref="H349">INDEX($D$1:$D$861,ROW()*2-1)</f>
        <v>827</v>
      </c>
    </row>
    <row r="350" ht="12.75" customHeight="1">
      <c r="A350" s="19" t="s">
        <v>347</v>
      </c>
      <c r="B350" s="19" t="n">
        <v>827</v>
      </c>
      <c r="D350" s="47" t="s">
        <v>173</v>
      </c>
      <c r="E350" s="47"/>
      <c r="F350" s="46" t="s">
        <f t="array" ref="F350">INDEX($D$1:$D$861,ROW()*2)</f>
        <v>348</v>
      </c>
      <c r="G350" s="46" t="e">
        <f t="array" ref="G350">INDEX($D$1:$D$861,ROW()*4-1)</f>
        <v>#REF!</v>
      </c>
      <c r="H350" s="46" t="n">
        <f t="array" ref="H350">INDEX($D$1:$D$861,ROW()*2-1)</f>
        <v>827</v>
      </c>
    </row>
    <row r="351" ht="18" customHeight="1">
      <c r="A351" s="19" t="s">
        <v>348</v>
      </c>
      <c r="B351" s="19" t="n">
        <v>827</v>
      </c>
      <c r="D351" s="50" t="n">
        <v>1.6</v>
      </c>
      <c r="E351" s="51"/>
      <c r="F351" s="46" t="s">
        <f t="array" ref="F351">INDEX($D$1:$D$861,ROW()*2)</f>
        <v>349</v>
      </c>
      <c r="G351" s="46" t="e">
        <f t="array" ref="G351">INDEX($D$1:$D$861,ROW()*4-1)</f>
        <v>#REF!</v>
      </c>
      <c r="H351" s="46" t="n">
        <f t="array" ref="H351">INDEX($D$1:$D$861,ROW()*2-1)</f>
        <v>827</v>
      </c>
    </row>
    <row r="352" ht="12.75" customHeight="1">
      <c r="A352" s="19" t="s">
        <v>349</v>
      </c>
      <c r="B352" s="19" t="n">
        <v>812</v>
      </c>
      <c r="D352" s="47" t="s">
        <v>174</v>
      </c>
      <c r="E352" s="47"/>
      <c r="F352" s="46" t="s">
        <f t="array" ref="F352">INDEX($D$1:$D$861,ROW()*2)</f>
        <v>350</v>
      </c>
      <c r="G352" s="46" t="e">
        <f t="array" ref="G352">INDEX($D$1:$D$861,ROW()*4-1)</f>
        <v>#REF!</v>
      </c>
      <c r="H352" s="46" t="n">
        <f t="array" ref="H352">INDEX($D$1:$D$861,ROW()*2-1)</f>
        <v>812</v>
      </c>
    </row>
    <row r="353" ht="18" customHeight="1">
      <c r="A353" s="19" t="s">
        <v>350</v>
      </c>
      <c r="B353" s="19" t="n">
        <v>812</v>
      </c>
      <c r="D353" s="50" t="n">
        <v>1.55</v>
      </c>
      <c r="E353" s="51"/>
      <c r="F353" s="46" t="s">
        <f t="array" ref="F353">INDEX($D$1:$D$861,ROW()*2)</f>
        <v>351</v>
      </c>
      <c r="G353" s="46" t="e">
        <f t="array" ref="G353">INDEX($D$1:$D$861,ROW()*4-1)</f>
        <v>#REF!</v>
      </c>
      <c r="H353" s="46" t="n">
        <f t="array" ref="H353">INDEX($D$1:$D$861,ROW()*2-1)</f>
        <v>812</v>
      </c>
    </row>
    <row r="354" ht="12.75" customHeight="1">
      <c r="A354" s="19" t="s">
        <v>351</v>
      </c>
      <c r="B354" s="19" t="n">
        <v>800</v>
      </c>
      <c r="D354" s="47" t="s">
        <v>175</v>
      </c>
      <c r="E354" s="47"/>
      <c r="F354" s="46" t="s">
        <f t="array" ref="F354">INDEX($D$1:$D$861,ROW()*2)</f>
        <v>352</v>
      </c>
      <c r="G354" s="46" t="e">
        <f t="array" ref="G354">INDEX($D$1:$D$861,ROW()*4-1)</f>
        <v>#REF!</v>
      </c>
      <c r="H354" s="46" t="n">
        <f t="array" ref="H354">INDEX($D$1:$D$861,ROW()*2-1)</f>
        <v>800</v>
      </c>
    </row>
    <row r="355" ht="18" customHeight="1">
      <c r="A355" s="19" t="s">
        <v>352</v>
      </c>
      <c r="B355" s="19" t="n">
        <v>800</v>
      </c>
      <c r="D355" s="50" t="n">
        <v>1.55</v>
      </c>
      <c r="E355" s="51"/>
      <c r="F355" s="46" t="s">
        <f t="array" ref="F355">INDEX($D$1:$D$861,ROW()*2)</f>
        <v>353</v>
      </c>
      <c r="G355" s="46" t="e">
        <f t="array" ref="G355">INDEX($D$1:$D$861,ROW()*4-1)</f>
        <v>#REF!</v>
      </c>
      <c r="H355" s="46" t="n">
        <f t="array" ref="H355">INDEX($D$1:$D$861,ROW()*2-1)</f>
        <v>800</v>
      </c>
    </row>
    <row r="356" ht="12.75" customHeight="1">
      <c r="A356" s="19" t="s">
        <v>353</v>
      </c>
      <c r="B356" s="19" t="n">
        <v>800</v>
      </c>
      <c r="D356" s="47" t="s">
        <v>176</v>
      </c>
      <c r="E356" s="47"/>
      <c r="F356" s="46" t="s">
        <f t="array" ref="F356">INDEX($D$1:$D$861,ROW()*2)</f>
        <v>354</v>
      </c>
      <c r="G356" s="46" t="e">
        <f t="array" ref="G356">INDEX($D$1:$D$861,ROW()*4-1)</f>
        <v>#REF!</v>
      </c>
      <c r="H356" s="46" t="n">
        <f t="array" ref="H356">INDEX($D$1:$D$861,ROW()*2-1)</f>
        <v>800</v>
      </c>
    </row>
    <row r="357" ht="18" customHeight="1">
      <c r="A357" s="19" t="s">
        <v>354</v>
      </c>
      <c r="B357" s="19" t="n">
        <v>800</v>
      </c>
      <c r="D357" s="50" t="n">
        <v>1.54</v>
      </c>
      <c r="E357" s="51"/>
      <c r="F357" s="46" t="s">
        <f t="array" ref="F357">INDEX($D$1:$D$861,ROW()*2)</f>
        <v>355</v>
      </c>
      <c r="G357" s="46" t="e">
        <f t="array" ref="G357">INDEX($D$1:$D$861,ROW()*4-1)</f>
        <v>#REF!</v>
      </c>
      <c r="H357" s="46" t="n">
        <f t="array" ref="H357">INDEX($D$1:$D$861,ROW()*2-1)</f>
        <v>800</v>
      </c>
    </row>
    <row r="358" ht="12.75" customHeight="1">
      <c r="A358" s="19" t="s">
        <v>355</v>
      </c>
      <c r="B358" s="19" t="n">
        <v>800</v>
      </c>
      <c r="D358" s="47" t="s">
        <v>177</v>
      </c>
      <c r="E358" s="47"/>
      <c r="F358" s="46" t="s">
        <f t="array" ref="F358">INDEX($D$1:$D$861,ROW()*2)</f>
        <v>356</v>
      </c>
      <c r="G358" s="46" t="e">
        <f t="array" ref="G358">INDEX($D$1:$D$861,ROW()*4-1)</f>
        <v>#REF!</v>
      </c>
      <c r="H358" s="46" t="n">
        <f t="array" ref="H358">INDEX($D$1:$D$861,ROW()*2-1)</f>
        <v>800</v>
      </c>
    </row>
    <row r="359" ht="18" customHeight="1">
      <c r="A359" s="19" t="s">
        <v>356</v>
      </c>
      <c r="B359" s="19" t="n">
        <v>787</v>
      </c>
      <c r="D359" s="50" t="n">
        <v>1.53</v>
      </c>
      <c r="E359" s="51"/>
      <c r="F359" s="46" t="s">
        <f t="array" ref="F359">INDEX($D$1:$D$861,ROW()*2)</f>
        <v>357</v>
      </c>
      <c r="G359" s="46" t="e">
        <f t="array" ref="G359">INDEX($D$1:$D$861,ROW()*4-1)</f>
        <v>#REF!</v>
      </c>
      <c r="H359" s="46" t="n">
        <f t="array" ref="H359">INDEX($D$1:$D$861,ROW()*2-1)</f>
        <v>787</v>
      </c>
    </row>
    <row r="360" ht="12.75" customHeight="1">
      <c r="A360" s="19" t="s">
        <v>357</v>
      </c>
      <c r="B360" s="19" t="n">
        <v>776</v>
      </c>
      <c r="D360" s="47" t="s">
        <v>178</v>
      </c>
      <c r="E360" s="47"/>
      <c r="F360" s="46" t="s">
        <f t="array" ref="F360">INDEX($D$1:$D$861,ROW()*2)</f>
        <v>358</v>
      </c>
      <c r="G360" s="46" t="e">
        <f t="array" ref="G360">INDEX($D$1:$D$861,ROW()*4-1)</f>
        <v>#REF!</v>
      </c>
      <c r="H360" s="46" t="n">
        <f t="array" ref="H360">INDEX($D$1:$D$861,ROW()*2-1)</f>
        <v>776</v>
      </c>
    </row>
    <row r="361" ht="18" customHeight="1">
      <c r="A361" s="19" t="s">
        <v>358</v>
      </c>
      <c r="B361" s="19" t="n">
        <v>762</v>
      </c>
      <c r="D361" s="50" t="n">
        <v>1.53</v>
      </c>
      <c r="E361" s="51"/>
      <c r="F361" s="46" t="s">
        <f t="array" ref="F361">INDEX($D$1:$D$861,ROW()*2)</f>
        <v>359</v>
      </c>
      <c r="G361" s="46" t="e">
        <f t="array" ref="G361">INDEX($D$1:$D$861,ROW()*4-1)</f>
        <v>#REF!</v>
      </c>
      <c r="H361" s="46" t="n">
        <f t="array" ref="H361">INDEX($D$1:$D$861,ROW()*2-1)</f>
        <v>762</v>
      </c>
    </row>
    <row r="362" ht="12.75" customHeight="1">
      <c r="A362" s="19" t="s">
        <v>359</v>
      </c>
      <c r="B362" s="19" t="n">
        <v>755</v>
      </c>
      <c r="D362" s="47" t="s">
        <v>179</v>
      </c>
      <c r="E362" s="47"/>
      <c r="F362" s="46" t="s">
        <f t="array" ref="F362">INDEX($D$1:$D$861,ROW()*2)</f>
        <v>360</v>
      </c>
      <c r="G362" s="46" t="e">
        <f t="array" ref="G362">INDEX($D$1:$D$861,ROW()*4-1)</f>
        <v>#REF!</v>
      </c>
      <c r="H362" s="46" t="n">
        <f t="array" ref="H362">INDEX($D$1:$D$861,ROW()*2-1)</f>
        <v>755</v>
      </c>
    </row>
    <row r="363" ht="18" customHeight="1">
      <c r="A363" s="19" t="s">
        <v>360</v>
      </c>
      <c r="B363" s="19" t="n">
        <v>752</v>
      </c>
      <c r="D363" s="50" t="n">
        <v>1.49</v>
      </c>
      <c r="E363" s="51"/>
      <c r="F363" s="46" t="s">
        <f t="array" ref="F363">INDEX($D$1:$D$861,ROW()*2)</f>
        <v>361</v>
      </c>
      <c r="G363" s="46" t="e">
        <f t="array" ref="G363">INDEX($D$1:$D$861,ROW()*4-1)</f>
        <v>#REF!</v>
      </c>
      <c r="H363" s="46" t="n">
        <f t="array" ref="H363">INDEX($D$1:$D$861,ROW()*2-1)</f>
        <v>752</v>
      </c>
    </row>
    <row r="364" ht="12.75" customHeight="1">
      <c r="A364" s="19" t="s">
        <v>361</v>
      </c>
      <c r="B364" s="19" t="n">
        <v>752</v>
      </c>
      <c r="D364" s="47" t="s">
        <v>180</v>
      </c>
      <c r="E364" s="47"/>
      <c r="F364" s="46" t="s">
        <f t="array" ref="F364">INDEX($D$1:$D$861,ROW()*2)</f>
        <v>362</v>
      </c>
      <c r="G364" s="46" t="e">
        <f t="array" ref="G364">INDEX($D$1:$D$861,ROW()*4-1)</f>
        <v>#REF!</v>
      </c>
      <c r="H364" s="46" t="n">
        <f t="array" ref="H364">INDEX($D$1:$D$861,ROW()*2-1)</f>
        <v>752</v>
      </c>
    </row>
    <row r="365" ht="18" customHeight="1">
      <c r="A365" s="19" t="s">
        <v>362</v>
      </c>
      <c r="B365" s="19" t="n">
        <v>725</v>
      </c>
      <c r="D365" s="50" t="n">
        <v>1.48</v>
      </c>
      <c r="E365" s="51"/>
      <c r="F365" s="46" t="s">
        <f t="array" ref="F365">INDEX($D$1:$D$861,ROW()*2)</f>
        <v>363</v>
      </c>
      <c r="G365" s="46" t="e">
        <f t="array" ref="G365">INDEX($D$1:$D$861,ROW()*4-1)</f>
        <v>#REF!</v>
      </c>
      <c r="H365" s="46" t="n">
        <f t="array" ref="H365">INDEX($D$1:$D$861,ROW()*2-1)</f>
        <v>725</v>
      </c>
    </row>
    <row r="366" ht="12.75" customHeight="1">
      <c r="A366" s="19" t="s">
        <v>363</v>
      </c>
      <c r="B366" s="19" t="n">
        <v>724</v>
      </c>
      <c r="D366" s="47" t="s">
        <v>181</v>
      </c>
      <c r="E366" s="47"/>
      <c r="F366" s="46" t="n">
        <f t="array" ref="F366">INDEX($D$1:$D$861,ROW()*2)</f>
        <v>4</v>
      </c>
      <c r="G366" s="46" t="e">
        <f t="array" ref="G366">INDEX($D$1:$D$861,ROW()*4-1)</f>
        <v>#REF!</v>
      </c>
      <c r="H366" s="46" t="n">
        <f t="array" ref="H366">INDEX($D$1:$D$861,ROW()*2-1)</f>
        <v>724</v>
      </c>
    </row>
    <row r="367" ht="18" customHeight="1">
      <c r="A367" s="19" t="n">
        <v>4</v>
      </c>
      <c r="B367" s="19" t="n">
        <v>701</v>
      </c>
      <c r="D367" s="50" t="n">
        <v>1.46</v>
      </c>
      <c r="E367" s="51"/>
      <c r="F367" s="46" t="s">
        <f t="array" ref="F367">INDEX($D$1:$D$861,ROW()*2)</f>
        <v>364</v>
      </c>
      <c r="G367" s="46" t="e">
        <f t="array" ref="G367">INDEX($D$1:$D$861,ROW()*4-1)</f>
        <v>#REF!</v>
      </c>
      <c r="H367" s="46" t="n">
        <f t="array" ref="H367">INDEX($D$1:$D$861,ROW()*2-1)</f>
        <v>701</v>
      </c>
    </row>
    <row r="368" ht="12.75" customHeight="1">
      <c r="A368" s="19" t="s">
        <v>364</v>
      </c>
      <c r="B368" s="19" t="n">
        <v>701</v>
      </c>
      <c r="D368" s="47" t="s">
        <v>182</v>
      </c>
      <c r="E368" s="47"/>
      <c r="F368" s="46" t="s">
        <f t="array" ref="F368">INDEX($D$1:$D$861,ROW()*2)</f>
        <v>365</v>
      </c>
      <c r="G368" s="46" t="e">
        <f t="array" ref="G368">INDEX($D$1:$D$861,ROW()*4-1)</f>
        <v>#REF!</v>
      </c>
      <c r="H368" s="46" t="n">
        <f t="array" ref="H368">INDEX($D$1:$D$861,ROW()*2-1)</f>
        <v>701</v>
      </c>
    </row>
    <row r="369" ht="18" customHeight="1">
      <c r="A369" s="19" t="s">
        <v>365</v>
      </c>
      <c r="B369" s="19" t="n">
        <v>697</v>
      </c>
      <c r="D369" s="50" t="n">
        <v>1.45</v>
      </c>
      <c r="E369" s="51"/>
      <c r="F369" s="46" t="s">
        <f t="array" ref="F369">INDEX($D$1:$D$861,ROW()*2)</f>
        <v>366</v>
      </c>
      <c r="G369" s="46" t="e">
        <f t="array" ref="G369">INDEX($D$1:$D$861,ROW()*4-1)</f>
        <v>#REF!</v>
      </c>
      <c r="H369" s="46" t="n">
        <f t="array" ref="H369">INDEX($D$1:$D$861,ROW()*2-1)</f>
        <v>697</v>
      </c>
    </row>
    <row r="370" ht="12.75" customHeight="1">
      <c r="A370" s="19" t="s">
        <v>366</v>
      </c>
      <c r="B370" s="19" t="n">
        <v>697</v>
      </c>
      <c r="D370" s="47" t="s">
        <v>183</v>
      </c>
      <c r="E370" s="47"/>
      <c r="F370" s="46" t="s">
        <f t="array" ref="F370">INDEX($D$1:$D$861,ROW()*2)</f>
        <v>367</v>
      </c>
      <c r="G370" s="46" t="e">
        <f t="array" ref="G370">INDEX($D$1:$D$861,ROW()*4-1)</f>
        <v>#REF!</v>
      </c>
      <c r="H370" s="46" t="n">
        <f t="array" ref="H370">INDEX($D$1:$D$861,ROW()*2-1)</f>
        <v>697</v>
      </c>
    </row>
    <row r="371" ht="18" customHeight="1">
      <c r="A371" s="19" t="s">
        <v>367</v>
      </c>
      <c r="B371" s="19" t="n">
        <v>656</v>
      </c>
      <c r="D371" s="50" t="n">
        <v>1.44</v>
      </c>
      <c r="E371" s="51"/>
      <c r="F371" s="46" t="s">
        <f t="array" ref="F371">INDEX($D$1:$D$861,ROW()*2)</f>
        <v>368</v>
      </c>
      <c r="G371" s="46" t="e">
        <f t="array" ref="G371">INDEX($D$1:$D$861,ROW()*4-1)</f>
        <v>#REF!</v>
      </c>
      <c r="H371" s="46" t="n">
        <f t="array" ref="H371">INDEX($D$1:$D$861,ROW()*2-1)</f>
        <v>656</v>
      </c>
    </row>
    <row r="372" ht="12.75" customHeight="1">
      <c r="A372" s="19" t="s">
        <v>368</v>
      </c>
      <c r="B372" s="19" t="n">
        <v>653</v>
      </c>
      <c r="D372" s="47" t="s">
        <v>184</v>
      </c>
      <c r="E372" s="47"/>
      <c r="F372" s="46" t="s">
        <f t="array" ref="F372">INDEX($D$1:$D$861,ROW()*2)</f>
        <v>369</v>
      </c>
      <c r="G372" s="46" t="e">
        <f t="array" ref="G372">INDEX($D$1:$D$861,ROW()*4-1)</f>
        <v>#REF!</v>
      </c>
      <c r="H372" s="46" t="n">
        <f t="array" ref="H372">INDEX($D$1:$D$861,ROW()*2-1)</f>
        <v>653</v>
      </c>
    </row>
    <row r="373" ht="18" customHeight="1">
      <c r="A373" s="19" t="s">
        <v>369</v>
      </c>
      <c r="B373" s="19" t="n">
        <v>647</v>
      </c>
      <c r="D373" s="50" t="n">
        <v>1.43</v>
      </c>
      <c r="E373" s="51"/>
      <c r="F373" s="46" t="s">
        <f t="array" ref="F373">INDEX($D$1:$D$861,ROW()*2)</f>
        <v>370</v>
      </c>
      <c r="G373" s="46" t="e">
        <f t="array" ref="G373">INDEX($D$1:$D$861,ROW()*4-1)</f>
        <v>#REF!</v>
      </c>
      <c r="H373" s="46" t="n">
        <f t="array" ref="H373">INDEX($D$1:$D$861,ROW()*2-1)</f>
        <v>647</v>
      </c>
    </row>
    <row r="374" ht="12.75" customHeight="1">
      <c r="A374" s="19" t="s">
        <v>370</v>
      </c>
      <c r="B374" s="19" t="n">
        <v>644</v>
      </c>
      <c r="D374" s="47" t="s">
        <v>185</v>
      </c>
      <c r="E374" s="47"/>
      <c r="F374" s="46" t="s">
        <f t="array" ref="F374">INDEX($D$1:$D$861,ROW()*2)</f>
        <v>371</v>
      </c>
      <c r="G374" s="46" t="e">
        <f t="array" ref="G374">INDEX($D$1:$D$861,ROW()*4-1)</f>
        <v>#REF!</v>
      </c>
      <c r="H374" s="46" t="n">
        <f t="array" ref="H374">INDEX($D$1:$D$861,ROW()*2-1)</f>
        <v>644</v>
      </c>
    </row>
    <row r="375" ht="18" customHeight="1">
      <c r="A375" s="19" t="s">
        <v>371</v>
      </c>
      <c r="B375" s="19" t="n">
        <v>638</v>
      </c>
      <c r="D375" s="50" t="n">
        <v>1.42</v>
      </c>
      <c r="E375" s="51"/>
      <c r="F375" s="46" t="s">
        <f t="array" ref="F375">INDEX($D$1:$D$861,ROW()*2)</f>
        <v>372</v>
      </c>
      <c r="G375" s="46" t="e">
        <f t="array" ref="G375">INDEX($D$1:$D$861,ROW()*4-1)</f>
        <v>#REF!</v>
      </c>
      <c r="H375" s="46" t="n">
        <f t="array" ref="H375">INDEX($D$1:$D$861,ROW()*2-1)</f>
        <v>638</v>
      </c>
    </row>
    <row r="376" ht="12.75" customHeight="1">
      <c r="A376" s="19" t="s">
        <v>372</v>
      </c>
      <c r="B376" s="19" t="n">
        <v>638</v>
      </c>
      <c r="D376" s="47" t="s">
        <v>186</v>
      </c>
      <c r="E376" s="47"/>
      <c r="F376" s="46" t="s">
        <f t="array" ref="F376">INDEX($D$1:$D$861,ROW()*2)</f>
        <v>373</v>
      </c>
      <c r="G376" s="46" t="e">
        <f t="array" ref="G376">INDEX($D$1:$D$861,ROW()*4-1)</f>
        <v>#REF!</v>
      </c>
      <c r="H376" s="46" t="n">
        <f t="array" ref="H376">INDEX($D$1:$D$861,ROW()*2-1)</f>
        <v>638</v>
      </c>
    </row>
    <row r="377" ht="18" customHeight="1">
      <c r="A377" s="19" t="s">
        <v>373</v>
      </c>
      <c r="B377" s="19" t="n">
        <v>626</v>
      </c>
      <c r="D377" s="50" t="n">
        <v>1.37</v>
      </c>
      <c r="E377" s="51"/>
      <c r="F377" s="46" t="s">
        <f t="array" ref="F377">INDEX($D$1:$D$861,ROW()*2)</f>
        <v>374</v>
      </c>
      <c r="G377" s="46" t="e">
        <f t="array" ref="G377">INDEX($D$1:$D$861,ROW()*4-1)</f>
        <v>#REF!</v>
      </c>
      <c r="H377" s="46" t="n">
        <f t="array" ref="H377">INDEX($D$1:$D$861,ROW()*2-1)</f>
        <v>626</v>
      </c>
    </row>
    <row r="378" ht="12.75" customHeight="1">
      <c r="A378" s="19" t="s">
        <v>374</v>
      </c>
      <c r="B378" s="19" t="n">
        <v>623</v>
      </c>
      <c r="D378" s="47" t="s">
        <v>187</v>
      </c>
      <c r="E378" s="47"/>
      <c r="F378" s="46" t="s">
        <f t="array" ref="F378">INDEX($D$1:$D$861,ROW()*2)</f>
        <v>375</v>
      </c>
      <c r="G378" s="46" t="e">
        <f t="array" ref="G378">INDEX($D$1:$D$861,ROW()*4-1)</f>
        <v>#REF!</v>
      </c>
      <c r="H378" s="46" t="n">
        <f t="array" ref="H378">INDEX($D$1:$D$861,ROW()*2-1)</f>
        <v>623</v>
      </c>
    </row>
    <row r="379" ht="18" customHeight="1">
      <c r="A379" s="19" t="s">
        <v>375</v>
      </c>
      <c r="B379" s="19" t="n">
        <v>612</v>
      </c>
      <c r="D379" s="50" t="n">
        <v>1.37</v>
      </c>
      <c r="E379" s="51"/>
      <c r="F379" s="46" t="s">
        <f t="array" ref="F379">INDEX($D$1:$D$861,ROW()*2)</f>
        <v>376</v>
      </c>
      <c r="G379" s="46" t="e">
        <f t="array" ref="G379">INDEX($D$1:$D$861,ROW()*4-1)</f>
        <v>#REF!</v>
      </c>
      <c r="H379" s="46" t="n">
        <f t="array" ref="H379">INDEX($D$1:$D$861,ROW()*2-1)</f>
        <v>612</v>
      </c>
    </row>
    <row r="380" ht="12.75" customHeight="1">
      <c r="A380" s="19" t="s">
        <v>376</v>
      </c>
      <c r="B380" s="19" t="n">
        <v>611</v>
      </c>
      <c r="D380" s="47" t="s">
        <v>188</v>
      </c>
      <c r="E380" s="47"/>
      <c r="F380" s="46" t="s">
        <f t="array" ref="F380">INDEX($D$1:$D$861,ROW()*2)</f>
        <v>377</v>
      </c>
      <c r="G380" s="46" t="e">
        <f t="array" ref="G380">INDEX($D$1:$D$861,ROW()*4-1)</f>
        <v>#REF!</v>
      </c>
      <c r="H380" s="46" t="n">
        <f t="array" ref="H380">INDEX($D$1:$D$861,ROW()*2-1)</f>
        <v>611</v>
      </c>
    </row>
    <row r="381" ht="18" customHeight="1">
      <c r="A381" s="19" t="s">
        <v>377</v>
      </c>
      <c r="B381" s="19" t="n">
        <v>611</v>
      </c>
      <c r="D381" s="50" t="n">
        <v>1.33</v>
      </c>
      <c r="E381" s="51"/>
      <c r="F381" s="46" t="s">
        <f t="array" ref="F381">INDEX($D$1:$D$861,ROW()*2)</f>
        <v>378</v>
      </c>
      <c r="G381" s="46" t="e">
        <f t="array" ref="G381">INDEX($D$1:$D$861,ROW()*4-1)</f>
        <v>#REF!</v>
      </c>
      <c r="H381" s="46" t="n">
        <f t="array" ref="H381">INDEX($D$1:$D$861,ROW()*2-1)</f>
        <v>611</v>
      </c>
    </row>
    <row r="382" ht="12.75" customHeight="1">
      <c r="A382" s="19" t="s">
        <v>378</v>
      </c>
      <c r="B382" s="19" t="n">
        <v>598</v>
      </c>
      <c r="D382" s="47" t="s">
        <v>189</v>
      </c>
      <c r="E382" s="47"/>
      <c r="F382" s="46" t="s">
        <f t="array" ref="F382">INDEX($D$1:$D$861,ROW()*2)</f>
        <v>379</v>
      </c>
      <c r="G382" s="46" t="e">
        <f t="array" ref="G382">INDEX($D$1:$D$861,ROW()*4-1)</f>
        <v>#REF!</v>
      </c>
      <c r="H382" s="46" t="n">
        <f t="array" ref="H382">INDEX($D$1:$D$861,ROW()*2-1)</f>
        <v>598</v>
      </c>
    </row>
    <row r="383" ht="18" customHeight="1">
      <c r="A383" s="19" t="s">
        <v>379</v>
      </c>
      <c r="B383" s="19" t="n">
        <v>598</v>
      </c>
      <c r="D383" s="50" t="n">
        <v>1.32</v>
      </c>
      <c r="E383" s="51"/>
      <c r="F383" s="46" t="s">
        <f t="array" ref="F383">INDEX($D$1:$D$861,ROW()*2)</f>
        <v>380</v>
      </c>
      <c r="G383" s="46" t="e">
        <f t="array" ref="G383">INDEX($D$1:$D$861,ROW()*4-1)</f>
        <v>#REF!</v>
      </c>
      <c r="H383" s="46" t="n">
        <f t="array" ref="H383">INDEX($D$1:$D$861,ROW()*2-1)</f>
        <v>598</v>
      </c>
    </row>
    <row r="384" ht="12.75" customHeight="1">
      <c r="A384" s="19" t="s">
        <v>380</v>
      </c>
      <c r="B384" s="19" t="n">
        <v>593</v>
      </c>
      <c r="D384" s="47" t="s">
        <v>190</v>
      </c>
      <c r="E384" s="47"/>
      <c r="F384" s="46" t="s">
        <f t="array" ref="F384">INDEX($D$1:$D$861,ROW()*2)</f>
        <v>381</v>
      </c>
      <c r="G384" s="46" t="e">
        <f t="array" ref="G384">INDEX($D$1:$D$861,ROW()*4-1)</f>
        <v>#REF!</v>
      </c>
      <c r="H384" s="46" t="n">
        <f t="array" ref="H384">INDEX($D$1:$D$861,ROW()*2-1)</f>
        <v>593</v>
      </c>
    </row>
    <row r="385" ht="18" customHeight="1">
      <c r="A385" s="19" t="s">
        <v>381</v>
      </c>
      <c r="B385" s="19" t="n">
        <v>593</v>
      </c>
      <c r="D385" s="50" t="n">
        <v>1.32</v>
      </c>
      <c r="E385" s="51"/>
      <c r="F385" s="46" t="s">
        <f t="array" ref="F385">INDEX($D$1:$D$861,ROW()*2)</f>
        <v>382</v>
      </c>
      <c r="G385" s="46" t="e">
        <f t="array" ref="G385">INDEX($D$1:$D$861,ROW()*4-1)</f>
        <v>#REF!</v>
      </c>
      <c r="H385" s="46" t="n">
        <f t="array" ref="H385">INDEX($D$1:$D$861,ROW()*2-1)</f>
        <v>593</v>
      </c>
    </row>
    <row r="386" ht="12.75" customHeight="1">
      <c r="A386" s="19" t="s">
        <v>382</v>
      </c>
      <c r="B386" s="19" t="n">
        <v>593</v>
      </c>
      <c r="D386" s="47" t="s">
        <v>191</v>
      </c>
      <c r="E386" s="47"/>
      <c r="F386" s="46" t="s">
        <f t="array" ref="F386">INDEX($D$1:$D$861,ROW()*2)</f>
        <v>383</v>
      </c>
      <c r="G386" s="46" t="e">
        <f t="array" ref="G386">INDEX($D$1:$D$861,ROW()*4-1)</f>
        <v>#REF!</v>
      </c>
      <c r="H386" s="46" t="n">
        <f t="array" ref="H386">INDEX($D$1:$D$861,ROW()*2-1)</f>
        <v>593</v>
      </c>
    </row>
    <row r="387" ht="18" customHeight="1">
      <c r="A387" s="19" t="s">
        <v>383</v>
      </c>
      <c r="B387" s="19" t="n">
        <v>584</v>
      </c>
      <c r="D387" s="50" t="n">
        <v>1.25</v>
      </c>
      <c r="E387" s="51"/>
      <c r="F387" s="46" t="s">
        <f t="array" ref="F387">INDEX($D$1:$D$861,ROW()*2)</f>
        <v>384</v>
      </c>
      <c r="G387" s="46" t="e">
        <f t="array" ref="G387">INDEX($D$1:$D$861,ROW()*4-1)</f>
        <v>#REF!</v>
      </c>
      <c r="H387" s="46" t="n">
        <f t="array" ref="H387">INDEX($D$1:$D$861,ROW()*2-1)</f>
        <v>584</v>
      </c>
    </row>
    <row r="388" ht="12.75" customHeight="1">
      <c r="A388" s="19" t="s">
        <v>384</v>
      </c>
      <c r="B388" s="19" t="n">
        <v>584</v>
      </c>
      <c r="D388" s="47" t="s">
        <v>192</v>
      </c>
      <c r="E388" s="47"/>
      <c r="F388" s="46" t="s">
        <f t="array" ref="F388">INDEX($D$1:$D$861,ROW()*2)</f>
        <v>385</v>
      </c>
      <c r="G388" s="46" t="e">
        <f t="array" ref="G388">INDEX($D$1:$D$861,ROW()*4-1)</f>
        <v>#REF!</v>
      </c>
      <c r="H388" s="46" t="n">
        <f t="array" ref="H388">INDEX($D$1:$D$861,ROW()*2-1)</f>
        <v>584</v>
      </c>
    </row>
    <row r="389" ht="18" customHeight="1">
      <c r="A389" s="19" t="s">
        <v>385</v>
      </c>
      <c r="B389" s="19" t="n">
        <v>566</v>
      </c>
      <c r="D389" s="50" t="n">
        <v>1.2</v>
      </c>
      <c r="E389" s="51"/>
      <c r="F389" s="46" t="s">
        <f t="array" ref="F389">INDEX($D$1:$D$861,ROW()*2)</f>
        <v>386</v>
      </c>
      <c r="G389" s="46" t="e">
        <f t="array" ref="G389">INDEX($D$1:$D$861,ROW()*4-1)</f>
        <v>#REF!</v>
      </c>
      <c r="H389" s="46" t="n">
        <f t="array" ref="H389">INDEX($D$1:$D$861,ROW()*2-1)</f>
        <v>566</v>
      </c>
    </row>
    <row r="390" ht="12.75" customHeight="1">
      <c r="A390" s="19" t="s">
        <v>386</v>
      </c>
      <c r="B390" s="19" t="n">
        <v>563</v>
      </c>
      <c r="D390" s="47" t="s">
        <v>193</v>
      </c>
      <c r="E390" s="47"/>
      <c r="F390" s="46" t="s">
        <f t="array" ref="F390">INDEX($D$1:$D$861,ROW()*2)</f>
        <v>387</v>
      </c>
      <c r="G390" s="46" t="e">
        <f t="array" ref="G390">INDEX($D$1:$D$861,ROW()*4-1)</f>
        <v>#REF!</v>
      </c>
      <c r="H390" s="46" t="n">
        <f t="array" ref="H390">INDEX($D$1:$D$861,ROW()*2-1)</f>
        <v>563</v>
      </c>
    </row>
    <row r="391" ht="18" customHeight="1">
      <c r="A391" s="19" t="s">
        <v>387</v>
      </c>
      <c r="B391" s="19" t="n">
        <v>560</v>
      </c>
      <c r="D391" s="50" t="n">
        <v>1.2</v>
      </c>
      <c r="E391" s="51"/>
      <c r="F391" s="46" t="s">
        <f t="array" ref="F391">INDEX($D$1:$D$861,ROW()*2)</f>
        <v>388</v>
      </c>
      <c r="G391" s="46" t="e">
        <f t="array" ref="G391">INDEX($D$1:$D$861,ROW()*4-1)</f>
        <v>#REF!</v>
      </c>
      <c r="H391" s="46" t="n">
        <f t="array" ref="H391">INDEX($D$1:$D$861,ROW()*2-1)</f>
        <v>560</v>
      </c>
    </row>
    <row r="392" ht="12.75" customHeight="1">
      <c r="A392" s="19" t="s">
        <v>388</v>
      </c>
      <c r="B392" s="19" t="n">
        <v>560</v>
      </c>
      <c r="D392" s="47" t="s">
        <v>194</v>
      </c>
      <c r="E392" s="47"/>
      <c r="F392" s="46" t="s">
        <f t="array" ref="F392">INDEX($D$1:$D$861,ROW()*2)</f>
        <v>389</v>
      </c>
      <c r="G392" s="46" t="e">
        <f t="array" ref="G392">INDEX($D$1:$D$861,ROW()*4-1)</f>
        <v>#REF!</v>
      </c>
      <c r="H392" s="46" t="n">
        <f t="array" ref="H392">INDEX($D$1:$D$861,ROW()*2-1)</f>
        <v>560</v>
      </c>
    </row>
    <row r="393" ht="18" customHeight="1">
      <c r="A393" s="19" t="s">
        <v>389</v>
      </c>
      <c r="B393" s="19" t="n">
        <v>554</v>
      </c>
      <c r="D393" s="50" t="n">
        <v>1.19</v>
      </c>
      <c r="E393" s="51"/>
      <c r="F393" s="46" t="s">
        <f t="array" ref="F393">INDEX($D$1:$D$861,ROW()*2)</f>
        <v>390</v>
      </c>
      <c r="G393" s="46" t="e">
        <f t="array" ref="G393">INDEX($D$1:$D$861,ROW()*4-1)</f>
        <v>#REF!</v>
      </c>
      <c r="H393" s="46" t="n">
        <f t="array" ref="H393">INDEX($D$1:$D$861,ROW()*2-1)</f>
        <v>554</v>
      </c>
    </row>
    <row r="394" ht="12.75" customHeight="1">
      <c r="A394" s="19" t="s">
        <v>390</v>
      </c>
      <c r="B394" s="19" t="n">
        <v>554</v>
      </c>
      <c r="D394" s="47" t="s">
        <v>195</v>
      </c>
      <c r="E394" s="47"/>
      <c r="F394" s="46" t="s">
        <f t="array" ref="F394">INDEX($D$1:$D$861,ROW()*2)</f>
        <v>391</v>
      </c>
      <c r="G394" s="46" t="e">
        <f t="array" ref="G394">INDEX($D$1:$D$861,ROW()*4-1)</f>
        <v>#REF!</v>
      </c>
      <c r="H394" s="46" t="n">
        <f t="array" ref="H394">INDEX($D$1:$D$861,ROW()*2-1)</f>
        <v>554</v>
      </c>
    </row>
    <row r="395" ht="18" customHeight="1">
      <c r="A395" s="19" t="s">
        <v>391</v>
      </c>
      <c r="B395" s="19" t="n">
        <v>548</v>
      </c>
      <c r="D395" s="50" t="n">
        <v>1.18</v>
      </c>
      <c r="E395" s="51"/>
      <c r="F395" s="46" t="s">
        <f t="array" ref="F395">INDEX($D$1:$D$861,ROW()*2)</f>
        <v>392</v>
      </c>
      <c r="G395" s="46" t="e">
        <f t="array" ref="G395">INDEX($D$1:$D$861,ROW()*4-1)</f>
        <v>#REF!</v>
      </c>
      <c r="H395" s="46" t="n">
        <f t="array" ref="H395">INDEX($D$1:$D$861,ROW()*2-1)</f>
        <v>548</v>
      </c>
    </row>
    <row r="396" ht="12.75" customHeight="1">
      <c r="A396" s="19" t="s">
        <v>392</v>
      </c>
      <c r="B396" s="19" t="n">
        <v>536</v>
      </c>
      <c r="D396" s="47" t="s">
        <v>196</v>
      </c>
      <c r="E396" s="47"/>
      <c r="F396" s="46" t="s">
        <f t="array" ref="F396">INDEX($D$1:$D$861,ROW()*2)</f>
        <v>393</v>
      </c>
      <c r="G396" s="46" t="e">
        <f t="array" ref="G396">INDEX($D$1:$D$861,ROW()*4-1)</f>
        <v>#REF!</v>
      </c>
      <c r="H396" s="46" t="n">
        <f t="array" ref="H396">INDEX($D$1:$D$861,ROW()*2-1)</f>
        <v>536</v>
      </c>
    </row>
    <row r="397" ht="18" customHeight="1">
      <c r="A397" s="19" t="s">
        <v>393</v>
      </c>
      <c r="B397" s="19" t="n">
        <v>530</v>
      </c>
      <c r="D397" s="50" t="n">
        <v>1.18</v>
      </c>
      <c r="E397" s="51"/>
      <c r="F397" s="46" t="s">
        <f t="array" ref="F397">INDEX($D$1:$D$861,ROW()*2)</f>
        <v>394</v>
      </c>
      <c r="G397" s="46" t="e">
        <f t="array" ref="G397">INDEX($D$1:$D$861,ROW()*4-1)</f>
        <v>#REF!</v>
      </c>
      <c r="H397" s="46" t="n">
        <f t="array" ref="H397">INDEX($D$1:$D$861,ROW()*2-1)</f>
        <v>530</v>
      </c>
    </row>
    <row r="398" ht="12.75" customHeight="1">
      <c r="A398" s="19" t="s">
        <v>394</v>
      </c>
      <c r="B398" s="19" t="n">
        <v>530</v>
      </c>
      <c r="D398" s="47" t="s">
        <v>197</v>
      </c>
      <c r="E398" s="47"/>
      <c r="F398" s="46" t="s">
        <f t="array" ref="F398">INDEX($D$1:$D$861,ROW()*2)</f>
        <v>395</v>
      </c>
      <c r="G398" s="46" t="e">
        <f t="array" ref="G398">INDEX($D$1:$D$861,ROW()*4-1)</f>
        <v>#REF!</v>
      </c>
      <c r="H398" s="46" t="n">
        <f t="array" ref="H398">INDEX($D$1:$D$861,ROW()*2-1)</f>
        <v>530</v>
      </c>
    </row>
    <row r="399" ht="18" customHeight="1">
      <c r="A399" s="19" t="s">
        <v>395</v>
      </c>
      <c r="B399" s="19" t="n">
        <v>530</v>
      </c>
      <c r="D399" s="50" t="n">
        <v>1.16</v>
      </c>
      <c r="E399" s="51"/>
      <c r="F399" s="46" t="s">
        <f t="array" ref="F399">INDEX($D$1:$D$861,ROW()*2)</f>
        <v>396</v>
      </c>
      <c r="G399" s="46" t="e">
        <f t="array" ref="G399">INDEX($D$1:$D$861,ROW()*4-1)</f>
        <v>#REF!</v>
      </c>
      <c r="H399" s="46" t="n">
        <f t="array" ref="H399">INDEX($D$1:$D$861,ROW()*2-1)</f>
        <v>530</v>
      </c>
    </row>
    <row r="400" ht="12.75" customHeight="1">
      <c r="A400" s="19" t="s">
        <v>396</v>
      </c>
      <c r="B400" s="19" t="n">
        <v>520</v>
      </c>
      <c r="D400" s="47" t="s">
        <v>198</v>
      </c>
      <c r="E400" s="47"/>
      <c r="F400" s="46" t="s">
        <f t="array" ref="F400">INDEX($D$1:$D$861,ROW()*2)</f>
        <v>397</v>
      </c>
      <c r="G400" s="46" t="e">
        <f t="array" ref="G400">INDEX($D$1:$D$861,ROW()*4-1)</f>
        <v>#REF!</v>
      </c>
      <c r="H400" s="46" t="n">
        <f t="array" ref="H400">INDEX($D$1:$D$861,ROW()*2-1)</f>
        <v>520</v>
      </c>
    </row>
    <row r="401" ht="18" customHeight="1">
      <c r="A401" s="19" t="s">
        <v>397</v>
      </c>
      <c r="B401" s="19" t="n">
        <v>512</v>
      </c>
      <c r="D401" s="50" t="n">
        <v>1.16</v>
      </c>
      <c r="E401" s="51"/>
      <c r="F401" s="46" t="s">
        <f t="array" ref="F401">INDEX($D$1:$D$861,ROW()*2)</f>
        <v>398</v>
      </c>
      <c r="G401" s="46" t="e">
        <f t="array" ref="G401">INDEX($D$1:$D$861,ROW()*4-1)</f>
        <v>#REF!</v>
      </c>
      <c r="H401" s="46" t="n">
        <f t="array" ref="H401">INDEX($D$1:$D$861,ROW()*2-1)</f>
        <v>512</v>
      </c>
    </row>
    <row r="402" ht="12.75" customHeight="1">
      <c r="A402" s="19" t="s">
        <v>398</v>
      </c>
      <c r="B402" s="19" t="n">
        <v>509</v>
      </c>
      <c r="D402" s="47" t="s">
        <v>199</v>
      </c>
      <c r="E402" s="47"/>
      <c r="F402" s="46" t="s">
        <f t="array" ref="F402">INDEX($D$1:$D$861,ROW()*2)</f>
        <v>399</v>
      </c>
      <c r="G402" s="46" t="e">
        <f t="array" ref="G402">INDEX($D$1:$D$861,ROW()*4-1)</f>
        <v>#REF!</v>
      </c>
      <c r="H402" s="46" t="n">
        <f t="array" ref="H402">INDEX($D$1:$D$861,ROW()*2-1)</f>
        <v>509</v>
      </c>
    </row>
    <row r="403" ht="18" customHeight="1">
      <c r="A403" s="19" t="s">
        <v>399</v>
      </c>
      <c r="B403" s="19" t="n">
        <v>506</v>
      </c>
      <c r="D403" s="50" t="n">
        <v>1.15</v>
      </c>
      <c r="E403" s="51"/>
      <c r="F403" s="46" t="s">
        <f t="array" ref="F403">INDEX($D$1:$D$861,ROW()*2)</f>
        <v>400</v>
      </c>
      <c r="G403" s="46" t="e">
        <f t="array" ref="G403">INDEX($D$1:$D$861,ROW()*4-1)</f>
        <v>#REF!</v>
      </c>
      <c r="H403" s="46" t="n">
        <f t="array" ref="H403">INDEX($D$1:$D$861,ROW()*2-1)</f>
        <v>506</v>
      </c>
    </row>
    <row r="404" ht="12.75" customHeight="1">
      <c r="A404" s="19" t="s">
        <v>400</v>
      </c>
      <c r="B404" s="19" t="n">
        <v>503</v>
      </c>
      <c r="D404" s="47" t="s">
        <v>200</v>
      </c>
      <c r="E404" s="47"/>
      <c r="F404" s="46" t="s">
        <f t="array" ref="F404">INDEX($D$1:$D$861,ROW()*2)</f>
        <v>401</v>
      </c>
      <c r="G404" s="46" t="e">
        <f t="array" ref="G404">INDEX($D$1:$D$861,ROW()*4-1)</f>
        <v>#REF!</v>
      </c>
      <c r="H404" s="46" t="n">
        <f t="array" ref="H404">INDEX($D$1:$D$861,ROW()*2-1)</f>
        <v>503</v>
      </c>
    </row>
    <row r="405" ht="18" customHeight="1">
      <c r="A405" s="19" t="s">
        <v>401</v>
      </c>
      <c r="B405" s="19" t="n">
        <v>503</v>
      </c>
      <c r="D405" s="50" t="n">
        <v>1.11</v>
      </c>
      <c r="E405" s="51"/>
      <c r="F405" s="46" t="s">
        <f t="array" ref="F405">INDEX($D$1:$D$861,ROW()*2)</f>
        <v>402</v>
      </c>
      <c r="G405" s="46" t="e">
        <f t="array" ref="G405">INDEX($D$1:$D$861,ROW()*4-1)</f>
        <v>#REF!</v>
      </c>
      <c r="H405" s="46" t="n">
        <f t="array" ref="H405">INDEX($D$1:$D$861,ROW()*2-1)</f>
        <v>503</v>
      </c>
    </row>
    <row r="406" ht="12.75" customHeight="1">
      <c r="A406" s="19" t="s">
        <v>402</v>
      </c>
      <c r="B406" s="19" t="n">
        <v>503</v>
      </c>
      <c r="D406" s="47" t="s">
        <v>201</v>
      </c>
      <c r="E406" s="47"/>
      <c r="F406" s="46" t="s">
        <f t="array" ref="F406">INDEX($D$1:$D$861,ROW()*2)</f>
        <v>403</v>
      </c>
      <c r="G406" s="46" t="e">
        <f t="array" ref="G406">INDEX($D$1:$D$861,ROW()*4-1)</f>
        <v>#REF!</v>
      </c>
      <c r="H406" s="46" t="n">
        <f t="array" ref="H406">INDEX($D$1:$D$861,ROW()*2-1)</f>
        <v>503</v>
      </c>
    </row>
    <row r="407" ht="18" customHeight="1">
      <c r="A407" s="19" t="s">
        <v>403</v>
      </c>
      <c r="B407" s="19" t="n">
        <v>472</v>
      </c>
      <c r="D407" s="50" t="n">
        <v>1.11</v>
      </c>
      <c r="E407" s="51"/>
      <c r="F407" s="46" t="s">
        <f t="array" ref="F407">INDEX($D$1:$D$861,ROW()*2)</f>
        <v>404</v>
      </c>
      <c r="G407" s="46" t="e">
        <f t="array" ref="G407">INDEX($D$1:$D$861,ROW()*4-1)</f>
        <v>#REF!</v>
      </c>
      <c r="H407" s="46" t="n">
        <f t="array" ref="H407">INDEX($D$1:$D$861,ROW()*2-1)</f>
        <v>472</v>
      </c>
    </row>
    <row r="408" ht="12.75" customHeight="1">
      <c r="A408" s="19" t="s">
        <v>404</v>
      </c>
      <c r="B408" s="19" t="n">
        <v>415</v>
      </c>
      <c r="D408" s="47" t="s">
        <v>202</v>
      </c>
      <c r="E408" s="47"/>
      <c r="F408" s="46" t="s">
        <f t="array" ref="F408">INDEX($D$1:$D$861,ROW()*2)</f>
        <v>405</v>
      </c>
      <c r="G408" s="46" t="e">
        <f t="array" ref="G408">INDEX($D$1:$D$861,ROW()*4-1)</f>
        <v>#REF!</v>
      </c>
      <c r="H408" s="46" t="n">
        <f t="array" ref="H408">INDEX($D$1:$D$861,ROW()*2-1)</f>
        <v>415</v>
      </c>
    </row>
    <row r="409" ht="18" customHeight="1">
      <c r="A409" s="19" t="s">
        <v>405</v>
      </c>
      <c r="B409" s="19" t="n">
        <v>370</v>
      </c>
      <c r="D409" s="50" t="n">
        <v>1.1</v>
      </c>
      <c r="E409" s="51"/>
      <c r="F409" s="46" t="s">
        <f t="array" ref="F409">INDEX($D$1:$D$861,ROW()*2)</f>
        <v>406</v>
      </c>
      <c r="G409" s="46" t="e">
        <f t="array" ref="G409">INDEX($D$1:$D$861,ROW()*4-1)</f>
        <v>#REF!</v>
      </c>
      <c r="H409" s="46" t="n">
        <f t="array" ref="H409">INDEX($D$1:$D$861,ROW()*2-1)</f>
        <v>370</v>
      </c>
    </row>
    <row r="410" ht="12.75" customHeight="1">
      <c r="A410" s="19" t="s">
        <v>406</v>
      </c>
      <c r="B410" s="19" t="n">
        <v>344</v>
      </c>
      <c r="D410" s="47" t="s">
        <v>203</v>
      </c>
      <c r="E410" s="47"/>
      <c r="F410" s="46" t="s">
        <f t="array" ref="F410">INDEX($D$1:$D$861,ROW()*2)</f>
        <v>407</v>
      </c>
      <c r="G410" s="46" t="e">
        <f t="array" ref="G410">INDEX($D$1:$D$861,ROW()*4-1)</f>
        <v>#REF!</v>
      </c>
      <c r="H410" s="46" t="n">
        <f t="array" ref="H410">INDEX($D$1:$D$861,ROW()*2-1)</f>
        <v>344</v>
      </c>
    </row>
    <row r="411" ht="18" customHeight="1">
      <c r="A411" s="19" t="s">
        <v>407</v>
      </c>
      <c r="B411" s="19" t="n">
        <v>310</v>
      </c>
      <c r="D411" s="50" t="n">
        <v>1.1</v>
      </c>
      <c r="E411" s="51"/>
      <c r="F411" s="46" t="s">
        <f t="array" ref="F411">INDEX($D$1:$D$861,ROW()*2)</f>
        <v>408</v>
      </c>
      <c r="G411" s="46" t="e">
        <f t="array" ref="G411">INDEX($D$1:$D$861,ROW()*4-1)</f>
        <v>#REF!</v>
      </c>
      <c r="H411" s="46" t="n">
        <f t="array" ref="H411">INDEX($D$1:$D$861,ROW()*2-1)</f>
        <v>310</v>
      </c>
    </row>
    <row r="412" ht="12.75" customHeight="1">
      <c r="A412" s="19" t="s">
        <v>408</v>
      </c>
      <c r="B412" s="19" t="n">
        <v>295</v>
      </c>
      <c r="D412" s="47" t="s">
        <v>204</v>
      </c>
      <c r="E412" s="47"/>
      <c r="F412" s="46" t="s">
        <f t="array" ref="F412">INDEX($D$1:$D$861,ROW()*2)</f>
        <v>409</v>
      </c>
      <c r="G412" s="46" t="e">
        <f t="array" ref="G412">INDEX($D$1:$D$861,ROW()*4-1)</f>
        <v>#REF!</v>
      </c>
      <c r="H412" s="46" t="n">
        <f t="array" ref="H412">INDEX($D$1:$D$861,ROW()*2-1)</f>
        <v>295</v>
      </c>
    </row>
    <row r="413" ht="18" customHeight="1">
      <c r="A413" s="19" t="s">
        <v>409</v>
      </c>
      <c r="B413" s="19" t="n">
        <v>285</v>
      </c>
      <c r="D413" s="50" t="n">
        <v>1.09</v>
      </c>
      <c r="E413" s="51"/>
      <c r="F413" s="46" t="s">
        <f t="array" ref="F413">INDEX($D$1:$D$861,ROW()*2)</f>
        <v>410</v>
      </c>
      <c r="G413" s="46" t="e">
        <f t="array" ref="G413">INDEX($D$1:$D$861,ROW()*4-1)</f>
        <v>#REF!</v>
      </c>
      <c r="H413" s="46" t="n">
        <f t="array" ref="H413">INDEX($D$1:$D$861,ROW()*2-1)</f>
        <v>285</v>
      </c>
    </row>
    <row r="414" ht="12.75" customHeight="1">
      <c r="A414" s="19" t="s">
        <v>410</v>
      </c>
      <c r="B414" s="19" t="n">
        <v>284</v>
      </c>
      <c r="D414" s="47" t="s">
        <v>205</v>
      </c>
      <c r="E414" s="47"/>
      <c r="F414" s="46" t="s">
        <f t="array" ref="F414">INDEX($D$1:$D$861,ROW()*2)</f>
        <v>411</v>
      </c>
      <c r="G414" s="46" t="e">
        <f t="array" ref="G414">INDEX($D$1:$D$861,ROW()*4-1)</f>
        <v>#REF!</v>
      </c>
      <c r="H414" s="46" t="n">
        <f t="array" ref="H414">INDEX($D$1:$D$861,ROW()*2-1)</f>
        <v>284</v>
      </c>
    </row>
    <row r="415" ht="18" customHeight="1">
      <c r="A415" s="19" t="s">
        <v>411</v>
      </c>
      <c r="B415" s="19" t="n">
        <v>265</v>
      </c>
      <c r="D415" s="50" t="n">
        <v>1.09</v>
      </c>
      <c r="E415" s="51"/>
      <c r="F415" s="46" t="s">
        <f t="array" ref="F415">INDEX($D$1:$D$861,ROW()*2)</f>
        <v>412</v>
      </c>
      <c r="G415" s="46" t="e">
        <f t="array" ref="G415">INDEX($D$1:$D$861,ROW()*4-1)</f>
        <v>#REF!</v>
      </c>
      <c r="H415" s="46" t="n">
        <f t="array" ref="H415">INDEX($D$1:$D$861,ROW()*2-1)</f>
        <v>265</v>
      </c>
    </row>
    <row r="416" ht="12.75" customHeight="1">
      <c r="A416" s="19" t="s">
        <v>412</v>
      </c>
      <c r="B416" s="19" t="n">
        <v>265</v>
      </c>
      <c r="D416" s="47" t="s">
        <v>206</v>
      </c>
      <c r="E416" s="47"/>
      <c r="F416" s="46" t="s">
        <f t="array" ref="F416">INDEX($D$1:$D$861,ROW()*2)</f>
        <v>413</v>
      </c>
      <c r="G416" s="46" t="e">
        <f t="array" ref="G416">INDEX($D$1:$D$861,ROW()*4-1)</f>
        <v>#REF!</v>
      </c>
      <c r="H416" s="46" t="n">
        <f t="array" ref="H416">INDEX($D$1:$D$861,ROW()*2-1)</f>
        <v>265</v>
      </c>
    </row>
    <row r="417" ht="18" customHeight="1">
      <c r="A417" s="19" t="s">
        <v>413</v>
      </c>
      <c r="B417" s="19" t="n">
        <v>265</v>
      </c>
      <c r="D417" s="50" t="n">
        <v>1.06</v>
      </c>
      <c r="E417" s="51"/>
      <c r="F417" s="46" t="s">
        <f t="array" ref="F417">INDEX($D$1:$D$861,ROW()*2)</f>
        <v>414</v>
      </c>
      <c r="G417" s="46" t="e">
        <f t="array" ref="G417">INDEX($D$1:$D$861,ROW()*4-1)</f>
        <v>#REF!</v>
      </c>
      <c r="H417" s="46" t="n">
        <f t="array" ref="H417">INDEX($D$1:$D$861,ROW()*2-1)</f>
        <v>265</v>
      </c>
    </row>
    <row r="418" ht="12.75" customHeight="1">
      <c r="A418" s="19" t="s">
        <v>414</v>
      </c>
      <c r="B418" s="19" t="n">
        <v>245</v>
      </c>
      <c r="D418" s="47" t="s">
        <v>207</v>
      </c>
      <c r="E418" s="47"/>
      <c r="F418" s="46" t="s">
        <f t="array" ref="F418">INDEX($D$1:$D$861,ROW()*2)</f>
        <v>415</v>
      </c>
      <c r="G418" s="46" t="e">
        <f t="array" ref="G418">INDEX($D$1:$D$861,ROW()*4-1)</f>
        <v>#REF!</v>
      </c>
      <c r="H418" s="46" t="n">
        <f t="array" ref="H418">INDEX($D$1:$D$861,ROW()*2-1)</f>
        <v>245</v>
      </c>
    </row>
    <row r="419" ht="18" customHeight="1">
      <c r="A419" s="19" t="s">
        <v>415</v>
      </c>
      <c r="B419" s="19" t="n">
        <v>245</v>
      </c>
      <c r="D419" s="50" t="n">
        <v>1.05</v>
      </c>
      <c r="E419" s="51"/>
      <c r="F419" s="46" t="s">
        <f t="array" ref="F419">INDEX($D$1:$D$861,ROW()*2)</f>
        <v>416</v>
      </c>
      <c r="G419" s="46" t="e">
        <f t="array" ref="G419">INDEX($D$1:$D$861,ROW()*4-1)</f>
        <v>#REF!</v>
      </c>
      <c r="H419" s="46" t="n">
        <f t="array" ref="H419">INDEX($D$1:$D$861,ROW()*2-1)</f>
        <v>245</v>
      </c>
    </row>
    <row r="420" ht="12.75" customHeight="1">
      <c r="A420" s="19" t="s">
        <v>416</v>
      </c>
      <c r="B420" s="19" t="n">
        <v>215</v>
      </c>
      <c r="D420" s="47" t="s">
        <v>208</v>
      </c>
      <c r="E420" s="47"/>
      <c r="F420" s="46" t="s">
        <f t="array" ref="F420">INDEX($D$1:$D$861,ROW()*2)</f>
        <v>417</v>
      </c>
      <c r="G420" s="46" t="e">
        <f t="array" ref="G420">INDEX($D$1:$D$861,ROW()*4-1)</f>
        <v>#REF!</v>
      </c>
      <c r="H420" s="46" t="n">
        <f t="array" ref="H420">INDEX($D$1:$D$861,ROW()*2-1)</f>
        <v>215</v>
      </c>
    </row>
    <row r="421" ht="18" customHeight="1">
      <c r="A421" s="19" t="s">
        <v>417</v>
      </c>
      <c r="B421" s="19" t="n">
        <v>215</v>
      </c>
      <c r="D421" s="50" t="n">
        <v>1.04</v>
      </c>
      <c r="E421" s="51"/>
      <c r="F421" s="46" t="s">
        <f t="array" ref="F421">INDEX($D$1:$D$861,ROW()*2)</f>
        <v>418</v>
      </c>
      <c r="G421" s="46" t="e">
        <f t="array" ref="G421">INDEX($D$1:$D$861,ROW()*4-1)</f>
        <v>#REF!</v>
      </c>
      <c r="H421" s="46" t="n">
        <f t="array" ref="H421">INDEX($D$1:$D$861,ROW()*2-1)</f>
        <v>215</v>
      </c>
    </row>
    <row r="422" ht="12.75" customHeight="1">
      <c r="A422" s="19" t="s">
        <v>418</v>
      </c>
      <c r="B422" s="19" t="n">
        <v>215</v>
      </c>
      <c r="D422" s="47" t="s">
        <v>209</v>
      </c>
      <c r="E422" s="47"/>
      <c r="F422" s="46" t="s">
        <f t="array" ref="F422">INDEX($D$1:$D$861,ROW()*2)</f>
        <v>419</v>
      </c>
      <c r="G422" s="46" t="e">
        <f t="array" ref="G422">INDEX($D$1:$D$861,ROW()*4-1)</f>
        <v>#REF!</v>
      </c>
      <c r="H422" s="46" t="n">
        <f t="array" ref="H422">INDEX($D$1:$D$861,ROW()*2-1)</f>
        <v>215</v>
      </c>
    </row>
    <row r="423" ht="18" customHeight="1">
      <c r="A423" s="19" t="s">
        <v>419</v>
      </c>
      <c r="B423" s="19" t="n">
        <v>205</v>
      </c>
      <c r="D423" s="50" t="n">
        <v>1.04</v>
      </c>
      <c r="E423" s="51"/>
      <c r="F423" s="46" t="s">
        <f t="array" ref="F423">INDEX($D$1:$D$861,ROW()*2)</f>
        <v>420</v>
      </c>
      <c r="G423" s="46" t="e">
        <f t="array" ref="G423">INDEX($D$1:$D$861,ROW()*4-1)</f>
        <v>#REF!</v>
      </c>
      <c r="H423" s="46" t="n">
        <f t="array" ref="H423">INDEX($D$1:$D$861,ROW()*2-1)</f>
        <v>205</v>
      </c>
    </row>
    <row r="424" ht="12.75" customHeight="1">
      <c r="A424" s="19" t="s">
        <v>420</v>
      </c>
      <c r="B424" s="19" t="n">
        <v>190</v>
      </c>
      <c r="D424" s="47" t="s">
        <v>210</v>
      </c>
      <c r="E424" s="47"/>
      <c r="F424" s="46" t="s">
        <f t="array" ref="F424">INDEX($D$1:$D$861,ROW()*2)</f>
        <v>421</v>
      </c>
      <c r="G424" s="46" t="e">
        <f t="array" ref="G424">INDEX($D$1:$D$861,ROW()*4-1)</f>
        <v>#REF!</v>
      </c>
      <c r="H424" s="46" t="n">
        <f t="array" ref="H424">INDEX($D$1:$D$861,ROW()*2-1)</f>
        <v>190</v>
      </c>
    </row>
    <row r="425" ht="18" customHeight="1">
      <c r="A425" s="19" t="s">
        <v>421</v>
      </c>
      <c r="B425" s="19" t="n">
        <v>175</v>
      </c>
      <c r="D425" s="50" t="n">
        <v>1.04</v>
      </c>
      <c r="E425" s="51"/>
      <c r="F425" s="46" t="s">
        <f t="array" ref="F425">INDEX($D$1:$D$861,ROW()*2)</f>
        <v>422</v>
      </c>
      <c r="G425" s="46" t="e">
        <f t="array" ref="G425">INDEX($D$1:$D$861,ROW()*4-1)</f>
        <v>#REF!</v>
      </c>
      <c r="H425" s="46" t="n">
        <f t="array" ref="H425">INDEX($D$1:$D$861,ROW()*2-1)</f>
        <v>175</v>
      </c>
    </row>
    <row r="426" ht="12.75" customHeight="1">
      <c r="A426" s="19" t="s">
        <v>422</v>
      </c>
      <c r="B426" s="19" t="n">
        <v>172</v>
      </c>
      <c r="D426" s="47" t="s">
        <v>211</v>
      </c>
      <c r="E426" s="47"/>
      <c r="F426" s="46" t="s">
        <f t="array" ref="F426">INDEX($D$1:$D$861,ROW()*2)</f>
        <v>423</v>
      </c>
      <c r="G426" s="46" t="e">
        <f t="array" ref="G426">INDEX($D$1:$D$861,ROW()*4-1)</f>
        <v>#REF!</v>
      </c>
      <c r="H426" s="46" t="n">
        <f t="array" ref="H426">INDEX($D$1:$D$861,ROW()*2-1)</f>
        <v>172</v>
      </c>
    </row>
    <row r="427" ht="18" customHeight="1">
      <c r="A427" s="19" t="s">
        <v>423</v>
      </c>
      <c r="B427" s="19" t="n">
        <v>160</v>
      </c>
      <c r="D427" s="50" t="n">
        <v>1.03</v>
      </c>
      <c r="E427" s="51"/>
      <c r="F427" s="46" t="s">
        <f t="array" ref="F427">INDEX($D$1:$D$861,ROW()*2)</f>
        <v>424</v>
      </c>
      <c r="G427" s="46" t="e">
        <f t="array" ref="G427">INDEX($D$1:$D$861,ROW()*4-1)</f>
        <v>#REF!</v>
      </c>
      <c r="H427" s="46" t="n">
        <f t="array" ref="H427">INDEX($D$1:$D$861,ROW()*2-1)</f>
        <v>160</v>
      </c>
    </row>
    <row r="428" ht="12.75" customHeight="1">
      <c r="A428" s="19" t="s">
        <v>424</v>
      </c>
      <c r="B428" s="19" t="n">
        <v>154</v>
      </c>
      <c r="D428" s="47" t="s">
        <v>212</v>
      </c>
      <c r="E428" s="47"/>
      <c r="F428" s="46" t="s">
        <f t="array" ref="F428">INDEX($D$1:$D$861,ROW()*2)</f>
        <v>425</v>
      </c>
      <c r="G428" s="46" t="e">
        <f t="array" ref="G428">INDEX($D$1:$D$861,ROW()*4-1)</f>
        <v>#REF!</v>
      </c>
      <c r="H428" s="46" t="n">
        <f t="array" ref="H428">INDEX($D$1:$D$861,ROW()*2-1)</f>
        <v>154</v>
      </c>
    </row>
    <row r="429" ht="18" customHeight="1">
      <c r="A429" s="19" t="s">
        <v>425</v>
      </c>
      <c r="B429" s="19" t="n">
        <v>132</v>
      </c>
      <c r="D429" s="50" t="n">
        <v>1.02</v>
      </c>
      <c r="E429" s="51"/>
      <c r="F429" s="46" t="s">
        <f t="array" ref="F429">INDEX($D$1:$D$861,ROW()*2)</f>
        <v>426</v>
      </c>
      <c r="G429" s="46" t="e">
        <f t="array" ref="G429">INDEX($D$1:$D$861,ROW()*4-1)</f>
        <v>#REF!</v>
      </c>
      <c r="H429" s="46" t="n">
        <f t="array" ref="H429">INDEX($D$1:$D$861,ROW()*2-1)</f>
        <v>132</v>
      </c>
    </row>
    <row r="430" ht="12.75" customHeight="1">
      <c r="A430" s="19" t="s">
        <v>426</v>
      </c>
      <c r="B430" s="19" t="n">
        <v>126</v>
      </c>
      <c r="D430" s="47" t="s">
        <v>213</v>
      </c>
      <c r="E430" s="47"/>
      <c r="F430" s="46" t="s">
        <f t="array" ref="F430">INDEX($D$1:$D$861,ROW()*2)</f>
        <v>427</v>
      </c>
      <c r="G430" s="46" t="e">
        <f t="array" ref="G430">INDEX($D$1:$D$861,ROW()*4-1)</f>
        <v>#REF!</v>
      </c>
      <c r="H430" s="46" t="n">
        <f t="array" ref="H430">INDEX($D$1:$D$861,ROW()*2-1)</f>
        <v>126</v>
      </c>
    </row>
    <row r="431" ht="18" customHeight="1">
      <c r="A431" s="19" t="s">
        <v>427</v>
      </c>
      <c r="B431" s="19" t="n">
        <v>124</v>
      </c>
      <c r="D431" s="50" t="n">
        <v>1.01</v>
      </c>
      <c r="E431" s="51"/>
      <c r="F431" s="46"/>
      <c r="G431" s="46" t="e">
        <f t="array" ref="G431">INDEX($D$1:$D$861,ROW()*4-1)</f>
        <v>#REF!</v>
      </c>
      <c r="H431" s="46" t="n">
        <f t="array" ref="H431">INDEX($D$1:$D$861,ROW()*2-1)</f>
        <v>124</v>
      </c>
    </row>
    <row r="432" ht="12.75" customHeight="1">
      <c r="A432" s="19" t="e">
        <f>IFERROR(IF(FIND("",#REF!),LEFT(#REF!,(LENB(#REF!)-LEN(#REF!))-1),0),LEFT(#REF!,(LENB(#REF!)-LEN(#REF!))))</f>
        <v>#REF!</v>
      </c>
      <c r="B432" s="19" t="e">
        <f>IFERROR(IF(FIND("",#REF!)&lt;&gt;-1,VALUE(SUBSTITUTE(#REF!,"",""))*10000,VALUE(#REF!)),VALUE(#REF!))</f>
        <v>#REF!</v>
      </c>
      <c r="D432" s="47" t="s">
        <v>214</v>
      </c>
      <c r="E432" s="47"/>
      <c r="F432" s="46"/>
      <c r="G432" s="46"/>
    </row>
    <row r="433" ht="18" customHeight="1">
      <c r="A433" s="19" t="e">
        <f>IFERROR(IF(FIND("",#REF!),LEFT(#REF!,(LENB(#REF!)-LEN(#REF!))-1),0),LEFT(#REF!,(LENB(#REF!)-LEN(#REF!))))</f>
        <v>#REF!</v>
      </c>
      <c r="B433" s="19" t="e">
        <f>IFERROR(IF(FIND("",#REF!)&lt;&gt;-1,VALUE(SUBSTITUTE(#REF!,"",""))*10000,VALUE(#REF!)),VALUE(#REF!))</f>
        <v>#REF!</v>
      </c>
      <c r="D433" s="50" t="n">
        <v>1.01</v>
      </c>
      <c r="E433" s="51"/>
      <c r="F433" s="46"/>
      <c r="G433" s="46"/>
    </row>
    <row r="434" ht="12.75" customHeight="1">
      <c r="A434" s="19" t="e">
        <f>IFERROR(IF(FIND("",#REF!),LEFT(#REF!,(LENB(#REF!)-LEN(#REF!))-1),0),LEFT(#REF!,(LENB(#REF!)-LEN(#REF!))))</f>
        <v>#REF!</v>
      </c>
      <c r="B434" s="19" t="e">
        <f>IFERROR(IF(FIND("",#REF!)&lt;&gt;-1,VALUE(SUBSTITUTE(#REF!,"",""))*10000,VALUE(#REF!)),VALUE(#REF!))</f>
        <v>#REF!</v>
      </c>
      <c r="D434" s="47" t="s">
        <v>215</v>
      </c>
      <c r="E434" s="47"/>
      <c r="F434" s="46"/>
      <c r="G434" s="46"/>
    </row>
    <row r="435" ht="18" customHeight="1">
      <c r="A435" s="19" t="e">
        <f>IFERROR(IF(FIND("",#REF!),LEFT(#REF!,(LENB(#REF!)-LEN(#REF!))-1),0),LEFT(#REF!,(LENB(#REF!)-LEN(#REF!))))</f>
        <v>#REF!</v>
      </c>
      <c r="B435" s="19" t="e">
        <f>IFERROR(IF(FIND("",#REF!)&lt;&gt;-1,VALUE(SUBSTITUTE(#REF!,"",""))*10000,VALUE(#REF!)),VALUE(#REF!))</f>
        <v>#REF!</v>
      </c>
      <c r="D435" s="50" t="n">
        <v>1.01</v>
      </c>
      <c r="E435" s="51"/>
      <c r="F435" s="46"/>
      <c r="G435" s="46"/>
    </row>
    <row r="436" ht="12.75" customHeight="1">
      <c r="A436" s="19" t="e">
        <f>IFERROR(IF(FIND("",#REF!),LEFT(#REF!,(LENB(#REF!)-LEN(#REF!))-1),0),LEFT(#REF!,(LENB(#REF!)-LEN(#REF!))))</f>
        <v>#REF!</v>
      </c>
      <c r="B436" s="19" t="e">
        <f>IFERROR(IF(FIND("",#REF!)&lt;&gt;-1,VALUE(SUBSTITUTE(#REF!,"",""))*10000,VALUE(#REF!)),VALUE(#REF!))</f>
        <v>#REF!</v>
      </c>
      <c r="D436" s="47" t="s">
        <v>216</v>
      </c>
      <c r="E436" s="47"/>
      <c r="F436" s="46"/>
      <c r="G436" s="46"/>
    </row>
    <row r="437" ht="18" customHeight="1">
      <c r="A437" s="19" t="e">
        <f>IFERROR(IF(FIND("",#REF!),LEFT(#REF!,(LENB(#REF!)-LEN(#REF!))-1),0),LEFT(#REF!,(LENB(#REF!)-LEN(#REF!))))</f>
        <v>#REF!</v>
      </c>
      <c r="B437" s="19" t="e">
        <f>IFERROR(IF(FIND("",#REF!)&lt;&gt;-1,VALUE(SUBSTITUTE(#REF!,"",""))*10000,VALUE(#REF!)),VALUE(#REF!))</f>
        <v>#REF!</v>
      </c>
      <c r="D437" s="52" t="n">
        <v>9069</v>
      </c>
      <c r="E437" s="53"/>
      <c r="F437" s="46"/>
    </row>
    <row r="438" ht="12.75" customHeight="1">
      <c r="A438" s="19" t="e">
        <f>IFERROR(IF(FIND("",#REF!),LEFT(#REF!,(LENB(#REF!)-LEN(#REF!))-1),0),LEFT(#REF!,(LENB(#REF!)-LEN(#REF!))))</f>
        <v>#REF!</v>
      </c>
      <c r="B438" s="19" t="e">
        <f>IFERROR(IF(FIND("",#REF!)&lt;&gt;-1,VALUE(SUBSTITUTE(#REF!,"",""))*10000,VALUE(#REF!)),VALUE(#REF!))</f>
        <v>#REF!</v>
      </c>
      <c r="D438" s="47" t="s">
        <v>217</v>
      </c>
      <c r="E438" s="47"/>
      <c r="F438" s="46"/>
    </row>
    <row r="439" ht="18" customHeight="1">
      <c r="A439" s="19" t="e">
        <f>IFERROR(IF(FIND("",#REF!),LEFT(#REF!,(LENB(#REF!)-LEN(#REF!))-1),0),LEFT(#REF!,(LENB(#REF!)-LEN(#REF!))))</f>
        <v>#REF!</v>
      </c>
      <c r="B439" s="19" t="e">
        <f>IFERROR(IF(FIND("",#REF!)&lt;&gt;-1,VALUE(SUBSTITUTE(#REF!,"",""))*10000,VALUE(#REF!)),VALUE(#REF!))</f>
        <v>#REF!</v>
      </c>
      <c r="D439" s="52" t="n">
        <v>8932</v>
      </c>
      <c r="E439" s="53"/>
      <c r="F439" s="46"/>
    </row>
    <row r="440" ht="12.75" customHeight="1">
      <c r="A440" s="19" t="e">
        <f>IFERROR(IF(FIND("",#REF!),LEFT(#REF!,(LENB(#REF!)-LEN(#REF!))-1),0),LEFT(#REF!,(LENB(#REF!)-LEN(#REF!))))</f>
        <v>#REF!</v>
      </c>
      <c r="B440" s="19" t="e">
        <f>IFERROR(IF(FIND("",#REF!)&lt;&gt;-1,VALUE(SUBSTITUTE(#REF!,"",""))*10000,VALUE(#REF!)),VALUE(#REF!))</f>
        <v>#REF!</v>
      </c>
      <c r="D440" s="47" t="s">
        <v>218</v>
      </c>
      <c r="E440" s="47"/>
      <c r="F440" s="46"/>
    </row>
    <row r="441" ht="18" customHeight="1">
      <c r="A441" s="19" t="e">
        <f>IFERROR(IF(FIND("",#REF!),LEFT(#REF!,(LENB(#REF!)-LEN(#REF!))-1),0),LEFT(#REF!,(LENB(#REF!)-LEN(#REF!))))</f>
        <v>#REF!</v>
      </c>
      <c r="B441" s="19" t="e">
        <f>IFERROR(IF(FIND("",#REF!)&lt;&gt;-1,VALUE(SUBSTITUTE(#REF!,"",""))*10000,VALUE(#REF!)),VALUE(#REF!))</f>
        <v>#REF!</v>
      </c>
      <c r="D441" s="52" t="n">
        <v>8741</v>
      </c>
      <c r="E441" s="53"/>
      <c r="F441" s="46"/>
    </row>
    <row r="442" ht="12.75" customHeight="1">
      <c r="A442" s="19" t="e">
        <f>IFERROR(IF(FIND("",#REF!),LEFT(#REF!,(LENB(#REF!)-LEN(#REF!))-1),0),LEFT(#REF!,(LENB(#REF!)-LEN(#REF!))))</f>
        <v>#REF!</v>
      </c>
      <c r="B442" s="19" t="e">
        <f>IFERROR(IF(FIND("",#REF!)&lt;&gt;-1,VALUE(SUBSTITUTE(#REF!,"",""))*10000,VALUE(#REF!)),VALUE(#REF!))</f>
        <v>#REF!</v>
      </c>
      <c r="D442" s="47" t="s">
        <v>219</v>
      </c>
      <c r="E442" s="47"/>
      <c r="F442" s="46"/>
    </row>
    <row r="443" ht="18" customHeight="1">
      <c r="A443" s="19" t="e">
        <f>IFERROR(IF(FIND("",#REF!),LEFT(#REF!,(LENB(#REF!)-LEN(#REF!))-1),0),LEFT(#REF!,(LENB(#REF!)-LEN(#REF!))))</f>
        <v>#REF!</v>
      </c>
      <c r="B443" s="19" t="e">
        <f>IFERROR(IF(FIND("",#REF!)&lt;&gt;-1,VALUE(SUBSTITUTE(#REF!,"",""))*10000,VALUE(#REF!)),VALUE(#REF!))</f>
        <v>#REF!</v>
      </c>
      <c r="D443" s="52" t="n">
        <v>8320</v>
      </c>
      <c r="E443" s="53"/>
      <c r="F443" s="46"/>
    </row>
    <row r="444" ht="12.75" customHeight="1">
      <c r="A444" s="19" t="e">
        <f>IFERROR(IF(FIND("",#REF!),LEFT(#REF!,(LENB(#REF!)-LEN(#REF!))-1),0),LEFT(#REF!,(LENB(#REF!)-LEN(#REF!))))</f>
        <v>#REF!</v>
      </c>
      <c r="B444" s="19" t="e">
        <f>IFERROR(IF(FIND("",#REF!)&lt;&gt;-1,VALUE(SUBSTITUTE(#REF!,"",""))*10000,VALUE(#REF!)),VALUE(#REF!))</f>
        <v>#REF!</v>
      </c>
      <c r="D444" s="47" t="s">
        <v>220</v>
      </c>
      <c r="E444" s="47"/>
      <c r="F444" s="46"/>
    </row>
    <row r="445" ht="18" customHeight="1">
      <c r="A445" s="19" t="e">
        <f>IFERROR(IF(FIND("",#REF!),LEFT(#REF!,(LENB(#REF!)-LEN(#REF!))-1),0),LEFT(#REF!,(LENB(#REF!)-LEN(#REF!))))</f>
        <v>#REF!</v>
      </c>
      <c r="B445" s="19" t="e">
        <f>IFERROR(IF(FIND("",#REF!)&lt;&gt;-1,VALUE(SUBSTITUTE(#REF!,"",""))*10000,VALUE(#REF!)),VALUE(#REF!))</f>
        <v>#REF!</v>
      </c>
      <c r="D445" s="52" t="n">
        <v>8314</v>
      </c>
      <c r="E445" s="53"/>
      <c r="F445" s="46"/>
    </row>
    <row r="446" ht="12.75" customHeight="1">
      <c r="A446" s="19" t="e">
        <f>IFERROR(IF(FIND("",#REF!),LEFT(#REF!,(LENB(#REF!)-LEN(#REF!))-1),0),LEFT(#REF!,(LENB(#REF!)-LEN(#REF!))))</f>
        <v>#REF!</v>
      </c>
      <c r="B446" s="19" t="e">
        <f>IFERROR(IF(FIND("",#REF!)&lt;&gt;-1,VALUE(SUBSTITUTE(#REF!,"",""))*10000,VALUE(#REF!)),VALUE(#REF!))</f>
        <v>#REF!</v>
      </c>
      <c r="D446" s="47" t="s">
        <v>221</v>
      </c>
      <c r="E446" s="47"/>
      <c r="F446" s="46"/>
    </row>
    <row r="447" ht="18" customHeight="1">
      <c r="A447" s="19" t="e">
        <f>IFERROR(IF(FIND("",#REF!),LEFT(#REF!,(LENB(#REF!)-LEN(#REF!))-1),0),LEFT(#REF!,(LENB(#REF!)-LEN(#REF!))))</f>
        <v>#REF!</v>
      </c>
      <c r="B447" s="19" t="e">
        <f>IFERROR(IF(FIND("",#REF!)&lt;&gt;-1,VALUE(SUBSTITUTE(#REF!,"",""))*10000,VALUE(#REF!)),VALUE(#REF!))</f>
        <v>#REF!</v>
      </c>
      <c r="D447" s="52" t="n">
        <v>8075</v>
      </c>
      <c r="E447" s="53"/>
      <c r="F447" s="46"/>
    </row>
    <row r="448" ht="12.75" customHeight="1">
      <c r="A448" s="19" t="e">
        <f>IFERROR(IF(FIND("",#REF!),LEFT(#REF!,(LENB(#REF!)-LEN(#REF!))-1),0),LEFT(#REF!,(LENB(#REF!)-LEN(#REF!))))</f>
        <v>#REF!</v>
      </c>
      <c r="B448" s="19" t="e">
        <f>IFERROR(IF(FIND("",#REF!)&lt;&gt;-1,VALUE(SUBSTITUTE(#REF!,"",""))*10000,VALUE(#REF!)),VALUE(#REF!))</f>
        <v>#REF!</v>
      </c>
      <c r="D448" s="47" t="s">
        <v>222</v>
      </c>
      <c r="E448" s="47"/>
      <c r="F448" s="46"/>
    </row>
    <row r="449" ht="18" customHeight="1">
      <c r="A449" s="19" t="e">
        <f>IFERROR(IF(FIND("",#REF!),LEFT(#REF!,(LENB(#REF!)-LEN(#REF!))-1),0),LEFT(#REF!,(LENB(#REF!)-LEN(#REF!))))</f>
        <v>#REF!</v>
      </c>
      <c r="B449" s="19" t="e">
        <f>IFERROR(IF(FIND("",#REF!)&lt;&gt;-1,VALUE(SUBSTITUTE(#REF!,"",""))*10000,VALUE(#REF!)),VALUE(#REF!))</f>
        <v>#REF!</v>
      </c>
      <c r="D449" s="52" t="n">
        <v>7984</v>
      </c>
      <c r="E449" s="53"/>
      <c r="F449" s="46"/>
    </row>
    <row r="450" ht="12.75" customHeight="1">
      <c r="A450" s="19" t="e">
        <f>IFERROR(IF(FIND("",#REF!),LEFT(#REF!,(LENB(#REF!)-LEN(#REF!))-1),0),LEFT(#REF!,(LENB(#REF!)-LEN(#REF!))))</f>
        <v>#REF!</v>
      </c>
      <c r="B450" s="19" t="e">
        <f>IFERROR(IF(FIND("",#REF!)&lt;&gt;-1,VALUE(SUBSTITUTE(#REF!,"",""))*10000,VALUE(#REF!)),VALUE(#REF!))</f>
        <v>#REF!</v>
      </c>
      <c r="D450" s="47" t="s">
        <v>223</v>
      </c>
      <c r="E450" s="47"/>
    </row>
    <row r="451" ht="17.25" customHeight="1">
      <c r="A451" s="19" t="e">
        <f>IFERROR(IF(FIND("",#REF!),LEFT(#REF!,(LENB(#REF!)-LEN(#REF!))-1),0),LEFT(#REF!,(LENB(#REF!)-LEN(#REF!))))</f>
        <v>#REF!</v>
      </c>
      <c r="B451" s="19" t="e">
        <f>IFERROR(IF(FIND("",#REF!)&lt;&gt;-1,VALUE(SUBSTITUTE(#REF!,"",""))*10000,VALUE(#REF!)),VALUE(#REF!))</f>
        <v>#REF!</v>
      </c>
      <c r="D451" s="52" t="n">
        <v>7905</v>
      </c>
      <c r="E451" s="53"/>
    </row>
    <row r="452" ht="12.75" customHeight="1">
      <c r="A452" s="19" t="e">
        <f>IFERROR(IF(FIND("",#REF!),LEFT(#REF!,(LENB(#REF!)-LEN(#REF!))-1),0),LEFT(#REF!,(LENB(#REF!)-LEN(#REF!))))</f>
        <v>#REF!</v>
      </c>
      <c r="B452" s="19" t="e">
        <f>IFERROR(IF(FIND("",#REF!)&lt;&gt;-1,VALUE(SUBSTITUTE(#REF!,"",""))*10000,VALUE(#REF!)),VALUE(#REF!))</f>
        <v>#REF!</v>
      </c>
      <c r="D452" s="47" t="s">
        <v>224</v>
      </c>
      <c r="E452" s="47"/>
    </row>
    <row r="453" ht="17.25" customHeight="1">
      <c r="A453" s="19" t="e">
        <f>IFERROR(IF(FIND("",#REF!),LEFT(#REF!,(LENB(#REF!)-LEN(#REF!))-1),0),LEFT(#REF!,(LENB(#REF!)-LEN(#REF!))))</f>
        <v>#REF!</v>
      </c>
      <c r="B453" s="19" t="e">
        <f>IFERROR(IF(FIND("",#REF!)&lt;&gt;-1,VALUE(SUBSTITUTE(#REF!,"",""))*10000,VALUE(#REF!)),VALUE(#REF!))</f>
        <v>#REF!</v>
      </c>
      <c r="D453" s="52" t="n">
        <v>7855</v>
      </c>
      <c r="E453" s="53"/>
    </row>
    <row r="454" ht="12.75" customHeight="1">
      <c r="A454" s="19" t="e">
        <f>IFERROR(IF(FIND("",#REF!),LEFT(#REF!,(LENB(#REF!)-LEN(#REF!))-1),0),LEFT(#REF!,(LENB(#REF!)-LEN(#REF!))))</f>
        <v>#REF!</v>
      </c>
      <c r="B454" s="19" t="e">
        <f>IFERROR(IF(FIND("",#REF!)&lt;&gt;-1,VALUE(SUBSTITUTE(#REF!,"",""))*10000,VALUE(#REF!)),VALUE(#REF!))</f>
        <v>#REF!</v>
      </c>
      <c r="D454" s="47" t="s">
        <v>225</v>
      </c>
      <c r="E454" s="47"/>
    </row>
    <row r="455" ht="17.25" customHeight="1">
      <c r="A455" s="19" t="e">
        <f>IFERROR(IF(FIND("",#REF!),LEFT(#REF!,(LENB(#REF!)-LEN(#REF!))-1),0),LEFT(#REF!,(LENB(#REF!)-LEN(#REF!))))</f>
        <v>#REF!</v>
      </c>
      <c r="B455" s="19" t="e">
        <f>IFERROR(IF(FIND("",#REF!)&lt;&gt;-1,VALUE(SUBSTITUTE(#REF!,"",""))*10000,VALUE(#REF!)),VALUE(#REF!))</f>
        <v>#REF!</v>
      </c>
      <c r="D455" s="52" t="n">
        <v>7557</v>
      </c>
      <c r="E455" s="53"/>
    </row>
    <row r="456" ht="12.75" customHeight="1">
      <c r="A456" s="19" t="e">
        <f>IFERROR(IF(FIND("",#REF!),LEFT(#REF!,(LENB(#REF!)-LEN(#REF!))-1),0),LEFT(#REF!,(LENB(#REF!)-LEN(#REF!))))</f>
        <v>#REF!</v>
      </c>
      <c r="B456" s="19" t="e">
        <f>IFERROR(IF(FIND("",#REF!)&lt;&gt;-1,VALUE(SUBSTITUTE(#REF!,"",""))*10000,VALUE(#REF!)),VALUE(#REF!))</f>
        <v>#REF!</v>
      </c>
      <c r="D456" s="47" t="s">
        <v>226</v>
      </c>
      <c r="E456" s="47"/>
    </row>
    <row r="457" ht="17.25" customHeight="1">
      <c r="A457" s="19" t="e">
        <f>IFERROR(IF(FIND("",#REF!),LEFT(#REF!,(LENB(#REF!)-LEN(#REF!))-1),0),LEFT(#REF!,(LENB(#REF!)-LEN(#REF!))))</f>
        <v>#REF!</v>
      </c>
      <c r="B457" s="19" t="e">
        <f>IFERROR(IF(FIND("",#REF!)&lt;&gt;-1,VALUE(SUBSTITUTE(#REF!,"",""))*10000,VALUE(#REF!)),VALUE(#REF!))</f>
        <v>#REF!</v>
      </c>
      <c r="D457" s="52" t="n">
        <v>7453</v>
      </c>
      <c r="E457" s="53"/>
    </row>
    <row r="458" ht="12.75" customHeight="1">
      <c r="A458" s="19" t="e">
        <f>IFERROR(IF(FIND("",#REF!),LEFT(#REF!,(LENB(#REF!)-LEN(#REF!))-1),0),LEFT(#REF!,(LENB(#REF!)-LEN(#REF!))))</f>
        <v>#REF!</v>
      </c>
      <c r="B458" s="19" t="e">
        <f>IFERROR(IF(FIND("",#REF!)&lt;&gt;-1,VALUE(SUBSTITUTE(#REF!,"",""))*10000,VALUE(#REF!)),VALUE(#REF!))</f>
        <v>#REF!</v>
      </c>
      <c r="D458" s="47" t="s">
        <v>227</v>
      </c>
      <c r="E458" s="47"/>
    </row>
    <row r="459" ht="17.25" customHeight="1">
      <c r="A459" s="19" t="e">
        <f>IFERROR(IF(FIND("",#REF!),LEFT(#REF!,(LENB(#REF!)-LEN(#REF!))-1),0),LEFT(#REF!,(LENB(#REF!)-LEN(#REF!))))</f>
        <v>#REF!</v>
      </c>
      <c r="B459" s="19" t="e">
        <f>IFERROR(IF(FIND("",#REF!)&lt;&gt;-1,VALUE(SUBSTITUTE(#REF!,"",""))*10000,VALUE(#REF!)),VALUE(#REF!))</f>
        <v>#REF!</v>
      </c>
      <c r="D459" s="52" t="n">
        <v>7446</v>
      </c>
      <c r="E459" s="53"/>
    </row>
    <row r="460" ht="12.75" customHeight="1">
      <c r="A460" s="19" t="e">
        <f>IFERROR(IF(FIND("",#REF!),LEFT(#REF!,(LENB(#REF!)-LEN(#REF!))-1),0),LEFT(#REF!,(LENB(#REF!)-LEN(#REF!))))</f>
        <v>#REF!</v>
      </c>
      <c r="B460" s="19" t="e">
        <f>IFERROR(IF(FIND("",#REF!)&lt;&gt;-1,VALUE(SUBSTITUTE(#REF!,"",""))*10000,VALUE(#REF!)),VALUE(#REF!))</f>
        <v>#REF!</v>
      </c>
      <c r="D460" s="47" t="s">
        <v>228</v>
      </c>
      <c r="E460" s="47"/>
    </row>
    <row r="461" ht="17.25" customHeight="1">
      <c r="A461" s="19" t="e">
        <f>IFERROR(IF(FIND("",#REF!),LEFT(#REF!,(LENB(#REF!)-LEN(#REF!))-1),0),LEFT(#REF!,(LENB(#REF!)-LEN(#REF!))))</f>
        <v>#REF!</v>
      </c>
      <c r="B461" s="19" t="e">
        <f>IFERROR(IF(FIND("",#REF!)&lt;&gt;-1,VALUE(SUBSTITUTE(#REF!,"",""))*10000,VALUE(#REF!)),VALUE(#REF!))</f>
        <v>#REF!</v>
      </c>
      <c r="D461" s="52" t="n">
        <v>7254</v>
      </c>
      <c r="E461" s="53"/>
    </row>
    <row r="462" ht="12.75" customHeight="1">
      <c r="A462" s="19" t="e">
        <f>IFERROR(IF(FIND("",#REF!),LEFT(#REF!,(LENB(#REF!)-LEN(#REF!))-1),0),LEFT(#REF!,(LENB(#REF!)-LEN(#REF!))))</f>
        <v>#REF!</v>
      </c>
      <c r="B462" s="19" t="e">
        <f>IFERROR(IF(FIND("",#REF!)&lt;&gt;-1,VALUE(SUBSTITUTE(#REF!,"",""))*10000,VALUE(#REF!)),VALUE(#REF!))</f>
        <v>#REF!</v>
      </c>
      <c r="D462" s="47" t="s">
        <v>229</v>
      </c>
      <c r="E462" s="47"/>
    </row>
    <row r="463" ht="17.25" customHeight="1">
      <c r="A463" s="19" t="e">
        <f>IFERROR(IF(FIND("",#REF!),LEFT(#REF!,(LENB(#REF!)-LEN(#REF!))-1),0),LEFT(#REF!,(LENB(#REF!)-LEN(#REF!))))</f>
        <v>#REF!</v>
      </c>
      <c r="B463" s="19" t="e">
        <f>IFERROR(IF(FIND("",#REF!)&lt;&gt;-1,VALUE(SUBSTITUTE(#REF!,"",""))*10000,VALUE(#REF!)),VALUE(#REF!))</f>
        <v>#REF!</v>
      </c>
      <c r="D463" s="52" t="n">
        <v>7132</v>
      </c>
      <c r="E463" s="53"/>
    </row>
    <row r="464" ht="12.75" customHeight="1">
      <c r="A464" s="19" t="e">
        <f>IFERROR(IF(FIND("",#REF!),LEFT(#REF!,(LENB(#REF!)-LEN(#REF!))-1),0),LEFT(#REF!,(LENB(#REF!)-LEN(#REF!))))</f>
        <v>#REF!</v>
      </c>
      <c r="B464" s="19" t="e">
        <f>IFERROR(IF(FIND("",#REF!)&lt;&gt;-1,VALUE(SUBSTITUTE(#REF!,"",""))*10000,VALUE(#REF!)),VALUE(#REF!))</f>
        <v>#REF!</v>
      </c>
      <c r="D464" s="47" t="s">
        <v>230</v>
      </c>
      <c r="E464" s="47"/>
    </row>
    <row r="465" ht="17.25" customHeight="1">
      <c r="A465" s="19" t="e">
        <f>IFERROR(IF(FIND("",#REF!),LEFT(#REF!,(LENB(#REF!)-LEN(#REF!))-1),0),LEFT(#REF!,(LENB(#REF!)-LEN(#REF!))))</f>
        <v>#REF!</v>
      </c>
      <c r="B465" s="19" t="e">
        <f>IFERROR(IF(FIND("",#REF!)&lt;&gt;-1,VALUE(SUBSTITUTE(#REF!,"",""))*10000,VALUE(#REF!)),VALUE(#REF!))</f>
        <v>#REF!</v>
      </c>
      <c r="D465" s="52" t="n">
        <v>7076</v>
      </c>
      <c r="E465" s="53"/>
    </row>
    <row r="466" ht="12.75" customHeight="1">
      <c r="A466" s="19" t="e">
        <f>IFERROR(IF(FIND("",#REF!),LEFT(#REF!,(LENB(#REF!)-LEN(#REF!))-1),0),LEFT(#REF!,(LENB(#REF!)-LEN(#REF!))))</f>
        <v>#REF!</v>
      </c>
      <c r="B466" s="19" t="e">
        <f>IFERROR(IF(FIND("",#REF!)&lt;&gt;-1,VALUE(SUBSTITUTE(#REF!,"",""))*10000,VALUE(#REF!)),VALUE(#REF!))</f>
        <v>#REF!</v>
      </c>
      <c r="D466" s="47" t="s">
        <v>231</v>
      </c>
      <c r="E466" s="47"/>
    </row>
    <row r="467" ht="17.25" customHeight="1">
      <c r="A467" s="19" t="e">
        <f>IFERROR(IF(FIND("",#REF!),LEFT(#REF!,(LENB(#REF!)-LEN(#REF!))-1),0),LEFT(#REF!,(LENB(#REF!)-LEN(#REF!))))</f>
        <v>#REF!</v>
      </c>
      <c r="B467" s="19" t="e">
        <f>IFERROR(IF(FIND("",#REF!)&lt;&gt;-1,VALUE(SUBSTITUTE(#REF!,"",""))*10000,VALUE(#REF!)),VALUE(#REF!))</f>
        <v>#REF!</v>
      </c>
      <c r="D467" s="52" t="n">
        <v>7070</v>
      </c>
      <c r="E467" s="53"/>
    </row>
    <row r="468" ht="12.75" customHeight="1">
      <c r="A468" s="19" t="e">
        <f>IFERROR(IF(FIND("",#REF!),LEFT(#REF!,(LENB(#REF!)-LEN(#REF!))-1),0),LEFT(#REF!,(LENB(#REF!)-LEN(#REF!))))</f>
        <v>#REF!</v>
      </c>
      <c r="B468" s="19" t="e">
        <f>IFERROR(IF(FIND("",#REF!)&lt;&gt;-1,VALUE(SUBSTITUTE(#REF!,"",""))*10000,VALUE(#REF!)),VALUE(#REF!))</f>
        <v>#REF!</v>
      </c>
      <c r="D468" s="47" t="s">
        <v>232</v>
      </c>
      <c r="E468" s="47"/>
    </row>
    <row r="469" ht="17.25" customHeight="1">
      <c r="A469" s="19" t="e">
        <f>IFERROR(IF(FIND("",#REF!),LEFT(#REF!,(LENB(#REF!)-LEN(#REF!))-1),0),LEFT(#REF!,(LENB(#REF!)-LEN(#REF!))))</f>
        <v>#REF!</v>
      </c>
      <c r="B469" s="19" t="e">
        <f>IFERROR(IF(FIND("",#REF!)&lt;&gt;-1,VALUE(SUBSTITUTE(#REF!,"",""))*10000,VALUE(#REF!)),VALUE(#REF!))</f>
        <v>#REF!</v>
      </c>
      <c r="D469" s="52" t="n">
        <v>6902</v>
      </c>
      <c r="E469" s="53"/>
    </row>
    <row r="470" ht="12.75" customHeight="1">
      <c r="A470" s="19" t="e">
        <f>IFERROR(IF(FIND("",#REF!),LEFT(#REF!,(LENB(#REF!)-LEN(#REF!))-1),0),LEFT(#REF!,(LENB(#REF!)-LEN(#REF!))))</f>
        <v>#REF!</v>
      </c>
      <c r="B470" s="19" t="e">
        <f>IFERROR(IF(FIND("",#REF!)&lt;&gt;-1,VALUE(SUBSTITUTE(#REF!,"",""))*10000,VALUE(#REF!)),VALUE(#REF!))</f>
        <v>#REF!</v>
      </c>
      <c r="D470" s="47" t="s">
        <v>233</v>
      </c>
      <c r="E470" s="47"/>
    </row>
    <row r="471" ht="17.25" customHeight="1">
      <c r="A471" s="19" t="e">
        <f>IFERROR(IF(FIND("",#REF!),LEFT(#REF!,(LENB(#REF!)-LEN(#REF!))-1),0),LEFT(#REF!,(LENB(#REF!)-LEN(#REF!))))</f>
        <v>#REF!</v>
      </c>
      <c r="B471" s="19" t="e">
        <f>IFERROR(IF(FIND("",#REF!)&lt;&gt;-1,VALUE(SUBSTITUTE(#REF!,"",""))*10000,VALUE(#REF!)),VALUE(#REF!))</f>
        <v>#REF!</v>
      </c>
      <c r="D471" s="52" t="n">
        <v>6882</v>
      </c>
      <c r="E471" s="53"/>
    </row>
    <row r="472" ht="12.75" customHeight="1">
      <c r="A472" s="19" t="e">
        <f>IFERROR(IF(FIND("",#REF!),LEFT(#REF!,(LENB(#REF!)-LEN(#REF!))-1),0),LEFT(#REF!,(LENB(#REF!)-LEN(#REF!))))</f>
        <v>#REF!</v>
      </c>
      <c r="B472" s="19" t="e">
        <f>IFERROR(IF(FIND("",#REF!)&lt;&gt;-1,VALUE(SUBSTITUTE(#REF!,"",""))*10000,VALUE(#REF!)),VALUE(#REF!))</f>
        <v>#REF!</v>
      </c>
      <c r="D472" s="47" t="s">
        <v>234</v>
      </c>
      <c r="E472" s="47"/>
    </row>
    <row r="473" ht="17.25" customHeight="1">
      <c r="A473" s="19" t="e">
        <f>IFERROR(IF(FIND("",#REF!),LEFT(#REF!,(LENB(#REF!)-LEN(#REF!))-1),0),LEFT(#REF!,(LENB(#REF!)-LEN(#REF!))))</f>
        <v>#REF!</v>
      </c>
      <c r="B473" s="19" t="e">
        <f>IFERROR(IF(FIND("",#REF!)&lt;&gt;-1,VALUE(SUBSTITUTE(#REF!,"",""))*10000,VALUE(#REF!)),VALUE(#REF!))</f>
        <v>#REF!</v>
      </c>
      <c r="D473" s="52" t="n">
        <v>6639</v>
      </c>
      <c r="E473" s="53"/>
    </row>
    <row r="474" ht="12.75" customHeight="1">
      <c r="A474" s="19" t="e">
        <f>IFERROR(IF(FIND("",#REF!),LEFT(#REF!,(LENB(#REF!)-LEN(#REF!))-1),0),LEFT(#REF!,(LENB(#REF!)-LEN(#REF!))))</f>
        <v>#REF!</v>
      </c>
      <c r="B474" s="19" t="e">
        <f>IFERROR(IF(FIND("",#REF!)&lt;&gt;-1,VALUE(SUBSTITUTE(#REF!,"",""))*10000,VALUE(#REF!)),VALUE(#REF!))</f>
        <v>#REF!</v>
      </c>
      <c r="D474" s="47" t="s">
        <v>235</v>
      </c>
      <c r="E474" s="47"/>
    </row>
    <row r="475" ht="17.25" customHeight="1">
      <c r="A475" s="19" t="e">
        <f>IFERROR(IF(FIND("",#REF!),LEFT(#REF!,(LENB(#REF!)-LEN(#REF!))-1),0),LEFT(#REF!,(LENB(#REF!)-LEN(#REF!))))</f>
        <v>#REF!</v>
      </c>
      <c r="B475" s="19" t="e">
        <f>IFERROR(IF(FIND("",#REF!)&lt;&gt;-1,VALUE(SUBSTITUTE(#REF!,"",""))*10000,VALUE(#REF!)),VALUE(#REF!))</f>
        <v>#REF!</v>
      </c>
      <c r="D475" s="52" t="n">
        <v>6608</v>
      </c>
      <c r="E475" s="53"/>
    </row>
    <row r="476" ht="12.75" customHeight="1">
      <c r="A476" s="19" t="e">
        <f>IFERROR(IF(FIND("",#REF!),LEFT(#REF!,(LENB(#REF!)-LEN(#REF!))-1),0),LEFT(#REF!,(LENB(#REF!)-LEN(#REF!))))</f>
        <v>#REF!</v>
      </c>
      <c r="B476" s="19" t="e">
        <f>IFERROR(IF(FIND("",#REF!)&lt;&gt;-1,VALUE(SUBSTITUTE(#REF!,"",""))*10000,VALUE(#REF!)),VALUE(#REF!))</f>
        <v>#REF!</v>
      </c>
      <c r="D476" s="47" t="s">
        <v>236</v>
      </c>
      <c r="E476" s="47"/>
    </row>
    <row r="477" ht="17.25" customHeight="1">
      <c r="A477" s="19" t="e">
        <f>IFERROR(IF(FIND("",#REF!),LEFT(#REF!,(LENB(#REF!)-LEN(#REF!))-1),0),LEFT(#REF!,(LENB(#REF!)-LEN(#REF!))))</f>
        <v>#REF!</v>
      </c>
      <c r="B477" s="19" t="e">
        <f>IFERROR(IF(FIND("",#REF!)&lt;&gt;-1,VALUE(SUBSTITUTE(#REF!,"",""))*10000,VALUE(#REF!)),VALUE(#REF!))</f>
        <v>#REF!</v>
      </c>
      <c r="D477" s="52" t="n">
        <v>6608</v>
      </c>
      <c r="E477" s="53"/>
    </row>
    <row r="478" ht="12.75" customHeight="1">
      <c r="A478" s="19" t="e">
        <f>IFERROR(IF(FIND("",#REF!),LEFT(#REF!,(LENB(#REF!)-LEN(#REF!))-1),0),LEFT(#REF!,(LENB(#REF!)-LEN(#REF!))))</f>
        <v>#REF!</v>
      </c>
      <c r="B478" s="19" t="e">
        <f>IFERROR(IF(FIND("",#REF!)&lt;&gt;-1,VALUE(SUBSTITUTE(#REF!,"",""))*10000,VALUE(#REF!)),VALUE(#REF!))</f>
        <v>#REF!</v>
      </c>
      <c r="D478" s="47" t="s">
        <v>237</v>
      </c>
      <c r="E478" s="47"/>
    </row>
    <row r="479" ht="17.25" customHeight="1">
      <c r="A479" s="19" t="e">
        <f>IFERROR(IF(FIND("",#REF!),LEFT(#REF!,(LENB(#REF!)-LEN(#REF!))-1),0),LEFT(#REF!,(LENB(#REF!)-LEN(#REF!))))</f>
        <v>#REF!</v>
      </c>
      <c r="B479" s="19" t="e">
        <f>IFERROR(IF(FIND("",#REF!)&lt;&gt;-1,VALUE(SUBSTITUTE(#REF!,"",""))*10000,VALUE(#REF!)),VALUE(#REF!))</f>
        <v>#REF!</v>
      </c>
      <c r="D479" s="52" t="n">
        <v>6536</v>
      </c>
      <c r="E479" s="53"/>
    </row>
    <row r="480" ht="12.75" customHeight="1">
      <c r="A480" s="19" t="e">
        <f>IFERROR(IF(FIND("",#REF!),LEFT(#REF!,(LENB(#REF!)-LEN(#REF!))-1),0),LEFT(#REF!,(LENB(#REF!)-LEN(#REF!))))</f>
        <v>#REF!</v>
      </c>
      <c r="B480" s="19" t="e">
        <f>IFERROR(IF(FIND("",#REF!)&lt;&gt;-1,VALUE(SUBSTITUTE(#REF!,"",""))*10000,VALUE(#REF!)),VALUE(#REF!))</f>
        <v>#REF!</v>
      </c>
      <c r="D480" s="47" t="s">
        <v>238</v>
      </c>
      <c r="E480" s="47"/>
    </row>
    <row r="481" ht="17.25" customHeight="1">
      <c r="A481" s="19" t="e">
        <f>IFERROR(IF(FIND("",#REF!),LEFT(#REF!,(LENB(#REF!)-LEN(#REF!))-1),0),LEFT(#REF!,(LENB(#REF!)-LEN(#REF!))))</f>
        <v>#REF!</v>
      </c>
      <c r="B481" s="19" t="e">
        <f>IFERROR(IF(FIND("",#REF!)&lt;&gt;-1,VALUE(SUBSTITUTE(#REF!,"",""))*10000,VALUE(#REF!)),VALUE(#REF!))</f>
        <v>#REF!</v>
      </c>
      <c r="D481" s="52" t="n">
        <v>6519</v>
      </c>
      <c r="E481" s="53"/>
    </row>
    <row r="482" ht="12.75" customHeight="1">
      <c r="A482" s="19" t="e">
        <f>IFERROR(IF(FIND("",#REF!),LEFT(#REF!,(LENB(#REF!)-LEN(#REF!))-1),0),LEFT(#REF!,(LENB(#REF!)-LEN(#REF!))))</f>
        <v>#REF!</v>
      </c>
      <c r="B482" s="19" t="e">
        <f>IFERROR(IF(FIND("",#REF!)&lt;&gt;-1,VALUE(SUBSTITUTE(#REF!,"",""))*10000,VALUE(#REF!)),VALUE(#REF!))</f>
        <v>#REF!</v>
      </c>
      <c r="D482" s="47" t="s">
        <v>239</v>
      </c>
      <c r="E482" s="47"/>
    </row>
    <row r="483" ht="17.25" customHeight="1">
      <c r="A483" s="19" t="e">
        <f>IFERROR(IF(FIND("",#REF!),LEFT(#REF!,(LENB(#REF!)-LEN(#REF!))-1),0),LEFT(#REF!,(LENB(#REF!)-LEN(#REF!))))</f>
        <v>#REF!</v>
      </c>
      <c r="B483" s="19" t="e">
        <f>IFERROR(IF(FIND("",#REF!)&lt;&gt;-1,VALUE(SUBSTITUTE(#REF!,"",""))*10000,VALUE(#REF!)),VALUE(#REF!))</f>
        <v>#REF!</v>
      </c>
      <c r="D483" s="52" t="n">
        <v>6519</v>
      </c>
      <c r="E483" s="53"/>
    </row>
    <row r="484" ht="12.75" customHeight="1">
      <c r="A484" s="19" t="e">
        <f>IFERROR(IF(FIND("",#REF!),LEFT(#REF!,(LENB(#REF!)-LEN(#REF!))-1),0),LEFT(#REF!,(LENB(#REF!)-LEN(#REF!))))</f>
        <v>#REF!</v>
      </c>
      <c r="B484" s="19" t="e">
        <f>IFERROR(IF(FIND("",#REF!)&lt;&gt;-1,VALUE(SUBSTITUTE(#REF!,"",""))*10000,VALUE(#REF!)),VALUE(#REF!))</f>
        <v>#REF!</v>
      </c>
      <c r="D484" s="47" t="s">
        <v>240</v>
      </c>
      <c r="E484" s="47"/>
    </row>
    <row r="485" ht="17.25" customHeight="1">
      <c r="A485" s="19" t="e">
        <f>IFERROR(IF(FIND("",#REF!),LEFT(#REF!,(LENB(#REF!)-LEN(#REF!))-1),0),LEFT(#REF!,(LENB(#REF!)-LEN(#REF!))))</f>
        <v>#REF!</v>
      </c>
      <c r="B485" s="19" t="e">
        <f>IFERROR(IF(FIND("",#REF!)&lt;&gt;-1,VALUE(SUBSTITUTE(#REF!,"",""))*10000,VALUE(#REF!)),VALUE(#REF!))</f>
        <v>#REF!</v>
      </c>
      <c r="D485" s="52" t="n">
        <v>6388</v>
      </c>
      <c r="E485" s="53"/>
    </row>
    <row r="486" ht="12.75" customHeight="1">
      <c r="A486" s="19" t="e">
        <f>IFERROR(IF(FIND("",#REF!),LEFT(#REF!,(LENB(#REF!)-LEN(#REF!))-1),0),LEFT(#REF!,(LENB(#REF!)-LEN(#REF!))))</f>
        <v>#REF!</v>
      </c>
      <c r="B486" s="19" t="e">
        <f>IFERROR(IF(FIND("",#REF!)&lt;&gt;-1,VALUE(SUBSTITUTE(#REF!,"",""))*10000,VALUE(#REF!)),VALUE(#REF!))</f>
        <v>#REF!</v>
      </c>
      <c r="D486" s="47" t="s">
        <v>241</v>
      </c>
      <c r="E486" s="47"/>
    </row>
    <row r="487" ht="17.25" customHeight="1">
      <c r="A487" s="19" t="e">
        <f>IFERROR(IF(FIND("",#REF!),LEFT(#REF!,(LENB(#REF!)-LEN(#REF!))-1),0),LEFT(#REF!,(LENB(#REF!)-LEN(#REF!))))</f>
        <v>#REF!</v>
      </c>
      <c r="B487" s="19" t="e">
        <f>IFERROR(IF(FIND("",#REF!)&lt;&gt;-1,VALUE(SUBSTITUTE(#REF!,"",""))*10000,VALUE(#REF!)),VALUE(#REF!))</f>
        <v>#REF!</v>
      </c>
      <c r="D487" s="52" t="n">
        <v>6348</v>
      </c>
      <c r="E487" s="53"/>
    </row>
    <row r="488" ht="12.75" customHeight="1">
      <c r="A488" s="19" t="e">
        <f>IFERROR(IF(FIND("",#REF!),LEFT(#REF!,(LENB(#REF!)-LEN(#REF!))-1),0),LEFT(#REF!,(LENB(#REF!)-LEN(#REF!))))</f>
        <v>#REF!</v>
      </c>
      <c r="B488" s="19" t="e">
        <f>IFERROR(IF(FIND("",#REF!)&lt;&gt;-1,VALUE(SUBSTITUTE(#REF!,"",""))*10000,VALUE(#REF!)),VALUE(#REF!))</f>
        <v>#REF!</v>
      </c>
      <c r="D488" s="47" t="s">
        <v>242</v>
      </c>
      <c r="E488" s="47"/>
    </row>
    <row r="489" ht="17.25" customHeight="1">
      <c r="A489" s="19" t="e">
        <f>IFERROR(IF(FIND("",#REF!),LEFT(#REF!,(LENB(#REF!)-LEN(#REF!))-1),0),LEFT(#REF!,(LENB(#REF!)-LEN(#REF!))))</f>
        <v>#REF!</v>
      </c>
      <c r="B489" s="19" t="e">
        <f>IFERROR(IF(FIND("",#REF!)&lt;&gt;-1,VALUE(SUBSTITUTE(#REF!,"",""))*10000,VALUE(#REF!)),VALUE(#REF!))</f>
        <v>#REF!</v>
      </c>
      <c r="D489" s="52" t="n">
        <v>6337</v>
      </c>
      <c r="E489" s="53"/>
    </row>
    <row r="490" ht="12.75" customHeight="1">
      <c r="A490" s="19" t="e">
        <f>IFERROR(IF(FIND("",#REF!),LEFT(#REF!,(LENB(#REF!)-LEN(#REF!))-1),0),LEFT(#REF!,(LENB(#REF!)-LEN(#REF!))))</f>
        <v>#REF!</v>
      </c>
      <c r="B490" s="19" t="e">
        <f>IFERROR(IF(FIND("",#REF!)&lt;&gt;-1,VALUE(SUBSTITUTE(#REF!,"",""))*10000,VALUE(#REF!)),VALUE(#REF!))</f>
        <v>#REF!</v>
      </c>
      <c r="D490" s="47" t="s">
        <v>243</v>
      </c>
      <c r="E490" s="47"/>
    </row>
    <row r="491" ht="17.25" customHeight="1">
      <c r="A491" s="19" t="e">
        <f>IFERROR(IF(FIND("",#REF!),LEFT(#REF!,(LENB(#REF!)-LEN(#REF!))-1),0),LEFT(#REF!,(LENB(#REF!)-LEN(#REF!))))</f>
        <v>#REF!</v>
      </c>
      <c r="B491" s="19" t="e">
        <f>IFERROR(IF(FIND("",#REF!)&lt;&gt;-1,VALUE(SUBSTITUTE(#REF!,"",""))*10000,VALUE(#REF!)),VALUE(#REF!))</f>
        <v>#REF!</v>
      </c>
      <c r="D491" s="52" t="n">
        <v>6318</v>
      </c>
      <c r="E491" s="53"/>
    </row>
    <row r="492" ht="12.75" customHeight="1">
      <c r="A492" s="19" t="e">
        <f>IFERROR(IF(FIND("",#REF!),LEFT(#REF!,(LENB(#REF!)-LEN(#REF!))-1),0),LEFT(#REF!,(LENB(#REF!)-LEN(#REF!))))</f>
        <v>#REF!</v>
      </c>
      <c r="B492" s="19" t="e">
        <f>IFERROR(IF(FIND("",#REF!)&lt;&gt;-1,VALUE(SUBSTITUTE(#REF!,"",""))*10000,VALUE(#REF!)),VALUE(#REF!))</f>
        <v>#REF!</v>
      </c>
      <c r="D492" s="47" t="s">
        <v>244</v>
      </c>
      <c r="E492" s="47"/>
    </row>
    <row r="493" ht="17.25" customHeight="1">
      <c r="A493" s="19" t="e">
        <f>IFERROR(IF(FIND("",#REF!),LEFT(#REF!,(LENB(#REF!)-LEN(#REF!))-1),0),LEFT(#REF!,(LENB(#REF!)-LEN(#REF!))))</f>
        <v>#REF!</v>
      </c>
      <c r="B493" s="19" t="e">
        <f>IFERROR(IF(FIND("",#REF!)&lt;&gt;-1,VALUE(SUBSTITUTE(#REF!,"",""))*10000,VALUE(#REF!)),VALUE(#REF!))</f>
        <v>#REF!</v>
      </c>
      <c r="D493" s="52" t="n">
        <v>6266</v>
      </c>
      <c r="E493" s="53"/>
    </row>
    <row r="494" ht="12.75" customHeight="1">
      <c r="A494" s="19" t="e">
        <f>IFERROR(IF(FIND("",#REF!),LEFT(#REF!,(LENB(#REF!)-LEN(#REF!))-1),0),LEFT(#REF!,(LENB(#REF!)-LEN(#REF!))))</f>
        <v>#REF!</v>
      </c>
      <c r="B494" s="19" t="e">
        <f>IFERROR(IF(FIND("",#REF!)&lt;&gt;-1,VALUE(SUBSTITUTE(#REF!,"",""))*10000,VALUE(#REF!)),VALUE(#REF!))</f>
        <v>#REF!</v>
      </c>
      <c r="D494" s="47" t="s">
        <v>245</v>
      </c>
      <c r="E494" s="47"/>
    </row>
    <row r="495" ht="17.25" customHeight="1">
      <c r="D495" s="52" t="n">
        <v>6046</v>
      </c>
      <c r="E495" s="53"/>
    </row>
    <row r="496" ht="12.75" customHeight="1">
      <c r="D496" s="47" t="s">
        <v>246</v>
      </c>
      <c r="E496" s="47"/>
    </row>
    <row r="497" ht="17.25" customHeight="1">
      <c r="D497" s="52" t="n">
        <v>6046</v>
      </c>
      <c r="E497" s="53"/>
    </row>
    <row r="498" ht="12.75" customHeight="1">
      <c r="D498" s="47" t="s">
        <v>247</v>
      </c>
      <c r="E498" s="47"/>
    </row>
    <row r="499" ht="17.25" customHeight="1">
      <c r="D499" s="52" t="n">
        <v>5986</v>
      </c>
      <c r="E499" s="53"/>
    </row>
    <row r="500" ht="12.75" customHeight="1">
      <c r="D500" s="47" t="s">
        <v>248</v>
      </c>
      <c r="E500" s="47"/>
    </row>
    <row r="501" ht="17.25" customHeight="1">
      <c r="D501" s="52" t="n">
        <v>5840</v>
      </c>
      <c r="E501" s="53"/>
    </row>
    <row r="502" ht="12.75" customHeight="1">
      <c r="D502" s="47" t="s">
        <v>249</v>
      </c>
      <c r="E502" s="47"/>
    </row>
    <row r="503" ht="17.25" customHeight="1">
      <c r="D503" s="52" t="n">
        <v>5809</v>
      </c>
      <c r="E503" s="53"/>
    </row>
    <row r="504" ht="12.75" customHeight="1">
      <c r="D504" s="47" t="s">
        <v>250</v>
      </c>
      <c r="E504" s="47"/>
    </row>
    <row r="505" ht="17.25" customHeight="1">
      <c r="D505" s="52" t="n">
        <v>5809</v>
      </c>
      <c r="E505" s="53"/>
    </row>
    <row r="506" ht="12.75" customHeight="1">
      <c r="D506" s="47" t="s">
        <v>251</v>
      </c>
      <c r="E506" s="47"/>
    </row>
    <row r="507" ht="17.25" customHeight="1">
      <c r="D507" s="52" t="n">
        <v>5805</v>
      </c>
      <c r="E507" s="53"/>
    </row>
    <row r="508" ht="12.75" customHeight="1">
      <c r="D508" s="47" t="s">
        <v>252</v>
      </c>
      <c r="E508" s="47"/>
    </row>
    <row r="509" ht="17.25" customHeight="1">
      <c r="D509" s="52" t="n">
        <v>5676</v>
      </c>
      <c r="E509" s="53"/>
    </row>
    <row r="510" ht="12.75" customHeight="1">
      <c r="D510" s="47" t="s">
        <v>253</v>
      </c>
      <c r="E510" s="47"/>
    </row>
    <row r="511" ht="17.25" customHeight="1">
      <c r="D511" s="52" t="n">
        <v>5658</v>
      </c>
      <c r="E511" s="53"/>
    </row>
    <row r="512" ht="12.75" customHeight="1">
      <c r="D512" s="47" t="s">
        <v>254</v>
      </c>
      <c r="E512" s="47"/>
    </row>
    <row r="513" ht="17.25" customHeight="1">
      <c r="D513" s="52" t="n">
        <v>5636</v>
      </c>
      <c r="E513" s="53"/>
    </row>
    <row r="514" ht="12.75" customHeight="1">
      <c r="D514" s="47" t="s">
        <v>255</v>
      </c>
      <c r="E514" s="47"/>
    </row>
    <row r="515" ht="17.25" customHeight="1">
      <c r="D515" s="52" t="n">
        <v>5522</v>
      </c>
      <c r="E515" s="53"/>
    </row>
    <row r="516" ht="12.75" customHeight="1">
      <c r="D516" s="47" t="s">
        <v>256</v>
      </c>
      <c r="E516" s="47"/>
    </row>
    <row r="517" ht="17.25" customHeight="1">
      <c r="D517" s="52" t="n">
        <v>5377</v>
      </c>
      <c r="E517" s="53"/>
    </row>
    <row r="518" ht="12.75" customHeight="1">
      <c r="D518" s="47" t="s">
        <v>257</v>
      </c>
      <c r="E518" s="47"/>
    </row>
    <row r="519" ht="17.25" customHeight="1">
      <c r="D519" s="52" t="n">
        <v>5271</v>
      </c>
      <c r="E519" s="53"/>
    </row>
    <row r="520" ht="12.75" customHeight="1">
      <c r="D520" s="47" t="s">
        <v>258</v>
      </c>
      <c r="E520" s="47"/>
    </row>
    <row r="521" ht="17.25" customHeight="1">
      <c r="D521" s="52" t="n">
        <v>4856</v>
      </c>
      <c r="E521" s="53"/>
    </row>
    <row r="522" ht="12.75" customHeight="1">
      <c r="D522" s="47" t="s">
        <v>259</v>
      </c>
      <c r="E522" s="47"/>
    </row>
    <row r="523" ht="17.25" customHeight="1">
      <c r="D523" s="52" t="n">
        <v>4677</v>
      </c>
      <c r="E523" s="53"/>
    </row>
    <row r="524" ht="12.75" customHeight="1">
      <c r="D524" s="47" t="s">
        <v>260</v>
      </c>
      <c r="E524" s="47"/>
    </row>
    <row r="525" ht="17.25" customHeight="1">
      <c r="D525" s="52" t="n">
        <v>4662</v>
      </c>
      <c r="E525" s="53"/>
    </row>
    <row r="526" ht="12.75" customHeight="1">
      <c r="D526" s="47" t="s">
        <v>261</v>
      </c>
      <c r="E526" s="47"/>
    </row>
    <row r="527" ht="17.25" customHeight="1">
      <c r="D527" s="52" t="n">
        <v>4638</v>
      </c>
      <c r="E527" s="53"/>
    </row>
    <row r="528" ht="12.75" customHeight="1">
      <c r="D528" s="47" t="s">
        <v>262</v>
      </c>
      <c r="E528" s="47"/>
    </row>
    <row r="529" ht="17.25" customHeight="1">
      <c r="D529" s="52" t="n">
        <v>4638</v>
      </c>
      <c r="E529" s="53"/>
    </row>
    <row r="530" ht="12.75" customHeight="1">
      <c r="D530" s="47" t="s">
        <v>263</v>
      </c>
      <c r="E530" s="47"/>
    </row>
    <row r="531" ht="17.25" customHeight="1">
      <c r="D531" s="52" t="n">
        <v>4587</v>
      </c>
      <c r="E531" s="53"/>
    </row>
    <row r="532" ht="12.75" customHeight="1">
      <c r="D532" s="47" t="s">
        <v>264</v>
      </c>
      <c r="E532" s="47"/>
    </row>
    <row r="533" ht="17.25" customHeight="1">
      <c r="D533" s="52" t="n">
        <v>4369</v>
      </c>
      <c r="E533" s="53"/>
    </row>
    <row r="534" ht="12.75" customHeight="1">
      <c r="D534" s="47" t="s">
        <v>265</v>
      </c>
      <c r="E534" s="47"/>
    </row>
    <row r="535" ht="17.25" customHeight="1">
      <c r="D535" s="52" t="n">
        <v>4218</v>
      </c>
      <c r="E535" s="53"/>
    </row>
    <row r="536" ht="12.75" customHeight="1">
      <c r="D536" s="47" t="s">
        <v>266</v>
      </c>
      <c r="E536" s="47"/>
    </row>
    <row r="537" ht="17.25" customHeight="1">
      <c r="D537" s="52" t="n">
        <v>4207</v>
      </c>
      <c r="E537" s="53"/>
    </row>
    <row r="538" ht="12.75" customHeight="1">
      <c r="D538" s="47" t="s">
        <v>267</v>
      </c>
      <c r="E538" s="47"/>
    </row>
    <row r="539" ht="17.25" customHeight="1">
      <c r="D539" s="52" t="n">
        <v>4203</v>
      </c>
      <c r="E539" s="53"/>
    </row>
    <row r="540" ht="12.75" customHeight="1">
      <c r="D540" s="47" t="s">
        <v>268</v>
      </c>
      <c r="E540" s="47"/>
    </row>
    <row r="541" ht="17.25" customHeight="1">
      <c r="D541" s="52" t="n">
        <v>4136</v>
      </c>
      <c r="E541" s="53"/>
    </row>
    <row r="542" ht="12.75" customHeight="1">
      <c r="D542" s="47" t="s">
        <v>269</v>
      </c>
      <c r="E542" s="47"/>
    </row>
    <row r="543" ht="17.25" customHeight="1">
      <c r="D543" s="52" t="n">
        <v>3891</v>
      </c>
      <c r="E543" s="53"/>
    </row>
    <row r="544" ht="12.75" customHeight="1">
      <c r="D544" s="47" t="s">
        <v>270</v>
      </c>
      <c r="E544" s="47"/>
    </row>
    <row r="545" ht="17.25" customHeight="1">
      <c r="D545" s="52" t="n">
        <v>3518</v>
      </c>
      <c r="E545" s="53"/>
    </row>
    <row r="546" ht="12.75" customHeight="1">
      <c r="D546" s="47" t="s">
        <v>271</v>
      </c>
      <c r="E546" s="47"/>
    </row>
    <row r="547" ht="17.25" customHeight="1">
      <c r="D547" s="52" t="n">
        <v>3500</v>
      </c>
      <c r="E547" s="53"/>
    </row>
    <row r="548" ht="12.75" customHeight="1">
      <c r="D548" s="47" t="s">
        <v>272</v>
      </c>
      <c r="E548" s="47"/>
    </row>
    <row r="549" ht="17.25" customHeight="1">
      <c r="D549" s="52" t="n">
        <v>3363</v>
      </c>
      <c r="E549" s="53"/>
    </row>
    <row r="550" ht="12.75" customHeight="1">
      <c r="D550" s="47" t="s">
        <v>273</v>
      </c>
      <c r="E550" s="47"/>
    </row>
    <row r="551" ht="17.25" customHeight="1">
      <c r="D551" s="52" t="n">
        <v>3305</v>
      </c>
      <c r="E551" s="53"/>
    </row>
    <row r="552" ht="12.75" customHeight="1">
      <c r="D552" s="47" t="s">
        <v>274</v>
      </c>
      <c r="E552" s="47"/>
    </row>
    <row r="553" ht="17.25" customHeight="1">
      <c r="D553" s="52" t="n">
        <v>3292</v>
      </c>
      <c r="E553" s="53"/>
    </row>
    <row r="554" ht="12.75" customHeight="1">
      <c r="D554" s="47" t="s">
        <v>275</v>
      </c>
      <c r="E554" s="47"/>
    </row>
    <row r="555" ht="17.25" customHeight="1">
      <c r="D555" s="52" t="n">
        <v>3284</v>
      </c>
      <c r="E555" s="53"/>
    </row>
    <row r="556" ht="12.75" customHeight="1">
      <c r="D556" s="47" t="s">
        <v>276</v>
      </c>
      <c r="E556" s="47"/>
    </row>
    <row r="557" ht="17.25" customHeight="1">
      <c r="D557" s="52" t="n">
        <v>3270</v>
      </c>
      <c r="E557" s="53"/>
    </row>
    <row r="558" ht="12.75" customHeight="1">
      <c r="D558" s="47" t="s">
        <v>277</v>
      </c>
      <c r="E558" s="47"/>
    </row>
    <row r="559" ht="17.25" customHeight="1">
      <c r="D559" s="52" t="n">
        <v>3259</v>
      </c>
      <c r="E559" s="53"/>
    </row>
    <row r="560" ht="12.75" customHeight="1">
      <c r="D560" s="47" t="s">
        <v>278</v>
      </c>
      <c r="E560" s="47"/>
    </row>
    <row r="561" ht="17.25" customHeight="1">
      <c r="D561" s="52" t="n">
        <v>3085</v>
      </c>
      <c r="E561" s="53"/>
    </row>
    <row r="562" ht="12.75" customHeight="1">
      <c r="D562" s="47" t="s">
        <v>279</v>
      </c>
      <c r="E562" s="47"/>
    </row>
    <row r="563" ht="17.25" customHeight="1">
      <c r="D563" s="52" t="n">
        <v>3070</v>
      </c>
      <c r="E563" s="53"/>
    </row>
    <row r="564" ht="12.75" customHeight="1">
      <c r="D564" s="47" t="s">
        <v>280</v>
      </c>
      <c r="E564" s="47"/>
    </row>
    <row r="565" ht="17.25" customHeight="1">
      <c r="D565" s="52" t="n">
        <v>2998</v>
      </c>
      <c r="E565" s="53"/>
    </row>
    <row r="566" ht="12.75" customHeight="1">
      <c r="D566" s="47" t="s">
        <v>281</v>
      </c>
      <c r="E566" s="47"/>
    </row>
    <row r="567" ht="17.25" customHeight="1">
      <c r="D567" s="52" t="n">
        <v>2998</v>
      </c>
      <c r="E567" s="53"/>
    </row>
    <row r="568" ht="12.75" customHeight="1">
      <c r="D568" s="47" t="s">
        <v>282</v>
      </c>
      <c r="E568" s="47"/>
    </row>
    <row r="569" ht="17.25" customHeight="1">
      <c r="D569" s="52" t="n">
        <v>2972</v>
      </c>
      <c r="E569" s="53"/>
    </row>
    <row r="570" ht="12.75" customHeight="1">
      <c r="D570" s="47" t="s">
        <v>283</v>
      </c>
      <c r="E570" s="47"/>
    </row>
    <row r="571" ht="17.25" customHeight="1">
      <c r="D571" s="52" t="n">
        <v>2924</v>
      </c>
      <c r="E571" s="53"/>
    </row>
    <row r="572" ht="12.75" customHeight="1">
      <c r="D572" s="47" t="s">
        <v>284</v>
      </c>
      <c r="E572" s="47"/>
    </row>
    <row r="573" ht="17.25" customHeight="1">
      <c r="D573" s="52" t="n">
        <v>2924</v>
      </c>
      <c r="E573" s="53"/>
    </row>
    <row r="574" ht="12.75" customHeight="1">
      <c r="D574" s="47" t="s">
        <v>285</v>
      </c>
      <c r="E574" s="47"/>
    </row>
    <row r="575" ht="17.25" customHeight="1">
      <c r="D575" s="52" t="n">
        <v>2902</v>
      </c>
      <c r="E575" s="53"/>
    </row>
    <row r="576" ht="12.75" customHeight="1">
      <c r="D576" s="47" t="s">
        <v>286</v>
      </c>
      <c r="E576" s="47"/>
    </row>
    <row r="577" ht="17.25" customHeight="1">
      <c r="D577" s="52" t="n">
        <v>2880</v>
      </c>
      <c r="E577" s="53"/>
    </row>
    <row r="578" ht="12.75" customHeight="1">
      <c r="D578" s="47" t="s">
        <v>287</v>
      </c>
      <c r="E578" s="47"/>
    </row>
    <row r="579" ht="17.25" customHeight="1">
      <c r="D579" s="52" t="n">
        <v>2880</v>
      </c>
      <c r="E579" s="53"/>
    </row>
    <row r="580" ht="12.75" customHeight="1">
      <c r="D580" s="47" t="s">
        <v>288</v>
      </c>
      <c r="E580" s="47"/>
    </row>
    <row r="581" ht="17.25" customHeight="1">
      <c r="D581" s="52" t="n">
        <v>2880</v>
      </c>
      <c r="E581" s="53"/>
    </row>
    <row r="582" ht="12.75" customHeight="1">
      <c r="D582" s="47" t="s">
        <v>289</v>
      </c>
      <c r="E582" s="47"/>
    </row>
    <row r="583" ht="17.25" customHeight="1">
      <c r="D583" s="52" t="n">
        <v>2608</v>
      </c>
      <c r="E583" s="53"/>
    </row>
    <row r="584" ht="12.75" customHeight="1">
      <c r="D584" s="47" t="s">
        <v>290</v>
      </c>
      <c r="E584" s="47"/>
    </row>
    <row r="585" ht="17.25" customHeight="1">
      <c r="D585" s="52" t="n">
        <v>2599</v>
      </c>
      <c r="E585" s="53"/>
    </row>
    <row r="586" ht="12.75" customHeight="1">
      <c r="D586" s="47" t="s">
        <v>291</v>
      </c>
      <c r="E586" s="47"/>
    </row>
    <row r="587" ht="17.25" customHeight="1">
      <c r="D587" s="52" t="n">
        <v>2595</v>
      </c>
      <c r="E587" s="53"/>
    </row>
    <row r="588" ht="12.75" customHeight="1">
      <c r="D588" s="47" t="s">
        <v>292</v>
      </c>
      <c r="E588" s="47"/>
    </row>
    <row r="589" ht="17.25" customHeight="1">
      <c r="D589" s="52" t="n">
        <v>2495</v>
      </c>
      <c r="E589" s="53"/>
    </row>
    <row r="590" ht="12.75" customHeight="1">
      <c r="D590" s="47" t="s">
        <v>293</v>
      </c>
      <c r="E590" s="47"/>
    </row>
    <row r="591" ht="17.25" customHeight="1">
      <c r="D591" s="52" t="n">
        <v>2423</v>
      </c>
      <c r="E591" s="53"/>
    </row>
    <row r="592" ht="12.75" customHeight="1">
      <c r="D592" s="47" t="s">
        <v>294</v>
      </c>
      <c r="E592" s="47"/>
    </row>
    <row r="593" ht="17.25" customHeight="1">
      <c r="D593" s="52" t="n">
        <v>2409</v>
      </c>
      <c r="E593" s="53"/>
    </row>
    <row r="594" ht="12.75" customHeight="1">
      <c r="D594" s="47" t="s">
        <v>295</v>
      </c>
      <c r="E594" s="47"/>
    </row>
    <row r="595" ht="17.25" customHeight="1">
      <c r="D595" s="52" t="n">
        <v>2281</v>
      </c>
      <c r="E595" s="53"/>
    </row>
    <row r="596" ht="12.75" customHeight="1">
      <c r="D596" s="47" t="s">
        <v>296</v>
      </c>
      <c r="E596" s="47"/>
    </row>
    <row r="597" ht="17.25" customHeight="1">
      <c r="D597" s="52" t="n">
        <v>2227</v>
      </c>
      <c r="E597" s="53"/>
    </row>
    <row r="598" ht="12.75" customHeight="1">
      <c r="D598" s="47" t="s">
        <v>297</v>
      </c>
      <c r="E598" s="47"/>
    </row>
    <row r="599" ht="17.25" customHeight="1">
      <c r="D599" s="52" t="n">
        <v>2145</v>
      </c>
      <c r="E599" s="53"/>
    </row>
    <row r="600" ht="12.75" customHeight="1">
      <c r="D600" s="47" t="s">
        <v>298</v>
      </c>
      <c r="E600" s="47"/>
    </row>
    <row r="601" ht="17.25" customHeight="1">
      <c r="D601" s="52" t="n">
        <v>2144</v>
      </c>
      <c r="E601" s="53"/>
    </row>
    <row r="602" ht="12.75" customHeight="1">
      <c r="D602" s="47" t="s">
        <v>299</v>
      </c>
      <c r="E602" s="47"/>
    </row>
    <row r="603" ht="17.25" customHeight="1">
      <c r="D603" s="52" t="n">
        <v>2122</v>
      </c>
      <c r="E603" s="53"/>
    </row>
    <row r="604" ht="12.75" customHeight="1">
      <c r="D604" s="47" t="s">
        <v>300</v>
      </c>
      <c r="E604" s="47"/>
    </row>
    <row r="605" ht="17.25" customHeight="1">
      <c r="D605" s="52" t="n">
        <v>2112</v>
      </c>
      <c r="E605" s="53"/>
    </row>
    <row r="606" ht="12.75" customHeight="1">
      <c r="D606" s="47" t="s">
        <v>301</v>
      </c>
      <c r="E606" s="47"/>
    </row>
    <row r="607" ht="17.25" customHeight="1">
      <c r="D607" s="52" t="n">
        <v>2077</v>
      </c>
      <c r="E607" s="53"/>
    </row>
    <row r="608" ht="12.75" customHeight="1">
      <c r="D608" s="47" t="s">
        <v>302</v>
      </c>
      <c r="E608" s="47"/>
    </row>
    <row r="609" ht="17.25" customHeight="1">
      <c r="D609" s="52" t="n">
        <v>2014</v>
      </c>
      <c r="E609" s="53"/>
    </row>
    <row r="610" ht="12.75" customHeight="1">
      <c r="D610" s="47" t="s">
        <v>303</v>
      </c>
      <c r="E610" s="47"/>
    </row>
    <row r="611" ht="17.25" customHeight="1">
      <c r="D611" s="52" t="n">
        <v>1962</v>
      </c>
      <c r="E611" s="53"/>
    </row>
    <row r="612" ht="12.75" customHeight="1">
      <c r="D612" s="47" t="s">
        <v>304</v>
      </c>
      <c r="E612" s="47"/>
    </row>
    <row r="613" ht="17.25" customHeight="1">
      <c r="D613" s="52" t="n">
        <v>1941</v>
      </c>
      <c r="E613" s="53"/>
    </row>
    <row r="614" ht="12.75" customHeight="1">
      <c r="D614" s="47" t="s">
        <v>305</v>
      </c>
      <c r="E614" s="47"/>
    </row>
    <row r="615" ht="17.25" customHeight="1">
      <c r="D615" s="52" t="n">
        <v>1922</v>
      </c>
      <c r="E615" s="53"/>
    </row>
    <row r="616" ht="12.75" customHeight="1">
      <c r="D616" s="47" t="s">
        <v>306</v>
      </c>
      <c r="E616" s="47"/>
    </row>
    <row r="617" ht="17.25" customHeight="1">
      <c r="D617" s="52" t="n">
        <v>1896</v>
      </c>
      <c r="E617" s="53"/>
    </row>
    <row r="618" ht="12.75" customHeight="1">
      <c r="D618" s="47" t="s">
        <v>307</v>
      </c>
      <c r="E618" s="47"/>
    </row>
    <row r="619" ht="17.25" customHeight="1">
      <c r="D619" s="52" t="n">
        <v>1896</v>
      </c>
      <c r="E619" s="53"/>
    </row>
    <row r="620" ht="12.75" customHeight="1">
      <c r="D620" s="47" t="s">
        <v>308</v>
      </c>
      <c r="E620" s="47"/>
    </row>
    <row r="621" ht="17.25" customHeight="1">
      <c r="D621" s="52" t="n">
        <v>1857</v>
      </c>
      <c r="E621" s="53"/>
    </row>
    <row r="622" ht="12.75" customHeight="1">
      <c r="D622" s="47" t="s">
        <v>309</v>
      </c>
      <c r="E622" s="47"/>
    </row>
    <row r="623" ht="17.25" customHeight="1">
      <c r="D623" s="52" t="n">
        <v>1812</v>
      </c>
      <c r="E623" s="53"/>
    </row>
    <row r="624" ht="12.75" customHeight="1">
      <c r="D624" s="47" t="s">
        <v>310</v>
      </c>
      <c r="E624" s="47"/>
    </row>
    <row r="625" ht="17.25" customHeight="1">
      <c r="D625" s="52" t="n">
        <v>1774</v>
      </c>
      <c r="E625" s="53"/>
    </row>
    <row r="626" ht="12.75" customHeight="1">
      <c r="D626" s="47" t="s">
        <v>311</v>
      </c>
      <c r="E626" s="47"/>
    </row>
    <row r="627" ht="17.25" customHeight="1">
      <c r="D627" s="52" t="n">
        <v>1768</v>
      </c>
      <c r="E627" s="53"/>
    </row>
    <row r="628" ht="12.75" customHeight="1">
      <c r="D628" s="47" t="s">
        <v>312</v>
      </c>
      <c r="E628" s="47"/>
    </row>
    <row r="629" ht="17.25" customHeight="1">
      <c r="D629" s="52" t="n">
        <v>1698</v>
      </c>
      <c r="E629" s="53"/>
    </row>
    <row r="630" ht="12.75" customHeight="1">
      <c r="D630" s="47" t="s">
        <v>313</v>
      </c>
      <c r="E630" s="47"/>
    </row>
    <row r="631" ht="17.25" customHeight="1">
      <c r="D631" s="52" t="n">
        <v>1695</v>
      </c>
      <c r="E631" s="53"/>
    </row>
    <row r="632" ht="12.75" customHeight="1">
      <c r="D632" s="47" t="s">
        <v>314</v>
      </c>
      <c r="E632" s="47"/>
    </row>
    <row r="633" ht="17.25" customHeight="1">
      <c r="D633" s="52" t="n">
        <v>1649</v>
      </c>
      <c r="E633" s="53"/>
    </row>
    <row r="634" ht="12.75" customHeight="1">
      <c r="D634" s="47" t="s">
        <v>315</v>
      </c>
      <c r="E634" s="47"/>
    </row>
    <row r="635" ht="17.25" customHeight="1">
      <c r="D635" s="52" t="n">
        <v>1628</v>
      </c>
      <c r="E635" s="53"/>
    </row>
    <row r="636" ht="12.75" customHeight="1">
      <c r="D636" s="47" t="s">
        <v>316</v>
      </c>
      <c r="E636" s="47"/>
    </row>
    <row r="637" ht="17.25" customHeight="1">
      <c r="D637" s="52" t="n">
        <v>1564</v>
      </c>
      <c r="E637" s="53"/>
    </row>
    <row r="638" ht="12.75" customHeight="1">
      <c r="D638" s="47" t="s">
        <v>317</v>
      </c>
      <c r="E638" s="47"/>
    </row>
    <row r="639" ht="17.25" customHeight="1">
      <c r="D639" s="52" t="n">
        <v>1552</v>
      </c>
      <c r="E639" s="53"/>
    </row>
    <row r="640" ht="12.75" customHeight="1">
      <c r="D640" s="47" t="s">
        <v>318</v>
      </c>
      <c r="E640" s="47"/>
    </row>
    <row r="641" ht="17.25" customHeight="1">
      <c r="D641" s="52" t="n">
        <v>1538</v>
      </c>
      <c r="E641" s="53"/>
    </row>
    <row r="642" ht="12.75" customHeight="1">
      <c r="D642" s="47" t="s">
        <v>319</v>
      </c>
      <c r="E642" s="47"/>
    </row>
    <row r="643" ht="17.25" customHeight="1">
      <c r="D643" s="52" t="n">
        <v>1457</v>
      </c>
      <c r="E643" s="53"/>
    </row>
    <row r="644" ht="12.75" customHeight="1">
      <c r="D644" s="47" t="s">
        <v>320</v>
      </c>
      <c r="E644" s="47"/>
    </row>
    <row r="645" ht="17.25" customHeight="1">
      <c r="D645" s="52" t="n">
        <v>1447</v>
      </c>
      <c r="E645" s="53"/>
    </row>
    <row r="646" ht="12.75" customHeight="1">
      <c r="D646" s="47" t="s">
        <v>321</v>
      </c>
      <c r="E646" s="47"/>
    </row>
    <row r="647" ht="17.25" customHeight="1">
      <c r="D647" s="52" t="n">
        <v>1442</v>
      </c>
      <c r="E647" s="53"/>
    </row>
    <row r="648" ht="12.75" customHeight="1">
      <c r="D648" s="47" t="s">
        <v>322</v>
      </c>
      <c r="E648" s="47"/>
    </row>
    <row r="649" ht="17.25" customHeight="1">
      <c r="D649" s="52" t="n">
        <v>1380</v>
      </c>
      <c r="E649" s="53"/>
    </row>
    <row r="650" ht="12.75" customHeight="1">
      <c r="D650" s="47" t="s">
        <v>323</v>
      </c>
      <c r="E650" s="47"/>
    </row>
    <row r="651" ht="17.25" customHeight="1">
      <c r="D651" s="52" t="n">
        <v>1375</v>
      </c>
      <c r="E651" s="53"/>
    </row>
    <row r="652" ht="12.75" customHeight="1">
      <c r="D652" s="47" t="s">
        <v>324</v>
      </c>
      <c r="E652" s="47"/>
    </row>
    <row r="653" ht="17.25" customHeight="1">
      <c r="D653" s="52" t="n">
        <v>1354</v>
      </c>
      <c r="E653" s="53"/>
    </row>
    <row r="654" ht="12.75" customHeight="1">
      <c r="D654" s="47" t="s">
        <v>325</v>
      </c>
      <c r="E654" s="47"/>
    </row>
    <row r="655" ht="17.25" customHeight="1">
      <c r="D655" s="52" t="n">
        <v>1340</v>
      </c>
      <c r="E655" s="53"/>
    </row>
    <row r="656" ht="12.75" customHeight="1">
      <c r="D656" s="47" t="s">
        <v>326</v>
      </c>
      <c r="E656" s="47"/>
    </row>
    <row r="657" ht="17.25" customHeight="1">
      <c r="D657" s="52" t="n">
        <v>1332</v>
      </c>
      <c r="E657" s="53"/>
    </row>
    <row r="658" ht="12.75" customHeight="1">
      <c r="D658" s="47" t="s">
        <v>327</v>
      </c>
      <c r="E658" s="47"/>
    </row>
    <row r="659" ht="17.25" customHeight="1">
      <c r="D659" s="52" t="n">
        <v>1332</v>
      </c>
      <c r="E659" s="53"/>
    </row>
    <row r="660" ht="12.75" customHeight="1">
      <c r="D660" s="47" t="s">
        <v>328</v>
      </c>
      <c r="E660" s="47"/>
    </row>
    <row r="661" ht="17.25" customHeight="1">
      <c r="D661" s="52" t="n">
        <v>1291</v>
      </c>
      <c r="E661" s="53"/>
    </row>
    <row r="662" ht="12.75" customHeight="1">
      <c r="D662" s="47" t="s">
        <v>329</v>
      </c>
      <c r="E662" s="47"/>
    </row>
    <row r="663" ht="17.25" customHeight="1">
      <c r="D663" s="52" t="n">
        <v>1243</v>
      </c>
      <c r="E663" s="53"/>
    </row>
    <row r="664" ht="12.75" customHeight="1">
      <c r="D664" s="47" t="s">
        <v>330</v>
      </c>
      <c r="E664" s="47"/>
    </row>
    <row r="665" ht="17.25" customHeight="1">
      <c r="D665" s="52" t="n">
        <v>1167</v>
      </c>
      <c r="E665" s="53"/>
    </row>
    <row r="666" ht="12.75" customHeight="1">
      <c r="D666" s="47" t="s">
        <v>331</v>
      </c>
      <c r="E666" s="47"/>
    </row>
    <row r="667" ht="17.25" customHeight="1">
      <c r="D667" s="52" t="n">
        <v>1078</v>
      </c>
      <c r="E667" s="53"/>
    </row>
    <row r="668" ht="12.75" customHeight="1">
      <c r="D668" s="47" t="s">
        <v>332</v>
      </c>
      <c r="E668" s="47"/>
    </row>
    <row r="669" ht="17.25" customHeight="1">
      <c r="D669" s="52" t="n">
        <v>1040</v>
      </c>
      <c r="E669" s="53"/>
    </row>
    <row r="670" ht="12.75" customHeight="1">
      <c r="D670" s="47" t="s">
        <v>333</v>
      </c>
      <c r="E670" s="47"/>
    </row>
    <row r="671" ht="17.25" customHeight="1">
      <c r="D671" s="52" t="n">
        <v>1040</v>
      </c>
      <c r="E671" s="53"/>
    </row>
    <row r="672" ht="12.75" customHeight="1">
      <c r="D672" s="47" t="s">
        <v>334</v>
      </c>
      <c r="E672" s="47"/>
    </row>
    <row r="673" ht="17.25" customHeight="1">
      <c r="D673" s="52" t="n">
        <v>1025</v>
      </c>
      <c r="E673" s="53"/>
    </row>
    <row r="674" ht="12.75" customHeight="1">
      <c r="D674" s="47" t="s">
        <v>335</v>
      </c>
      <c r="E674" s="47"/>
    </row>
    <row r="675" ht="17.25" customHeight="1">
      <c r="D675" s="52" t="n">
        <v>1016</v>
      </c>
      <c r="E675" s="53"/>
    </row>
    <row r="676" ht="12.75" customHeight="1">
      <c r="D676" s="47" t="s">
        <v>336</v>
      </c>
      <c r="E676" s="47"/>
    </row>
    <row r="677" ht="17.25" customHeight="1">
      <c r="D677" s="50" t="n">
        <v>987</v>
      </c>
      <c r="E677" s="51"/>
    </row>
    <row r="678" ht="12.75" customHeight="1">
      <c r="D678" s="47" t="s">
        <v>337</v>
      </c>
      <c r="E678" s="47"/>
    </row>
    <row r="679" ht="17.25" customHeight="1">
      <c r="D679" s="50" t="n">
        <v>965</v>
      </c>
      <c r="E679" s="51"/>
    </row>
    <row r="680" ht="12.75" customHeight="1">
      <c r="D680" s="47" t="s">
        <v>338</v>
      </c>
      <c r="E680" s="47"/>
    </row>
    <row r="681" ht="17.25" customHeight="1">
      <c r="D681" s="50" t="n">
        <v>935</v>
      </c>
      <c r="E681" s="51"/>
    </row>
    <row r="682" ht="12.75" customHeight="1">
      <c r="D682" s="47" t="s">
        <v>339</v>
      </c>
      <c r="E682" s="47"/>
    </row>
    <row r="683" ht="17.25" customHeight="1">
      <c r="D683" s="50" t="n">
        <v>932</v>
      </c>
      <c r="E683" s="51"/>
    </row>
    <row r="684" ht="12.75" customHeight="1">
      <c r="D684" s="47" t="s">
        <v>340</v>
      </c>
      <c r="E684" s="47"/>
    </row>
    <row r="685" ht="17.25" customHeight="1">
      <c r="D685" s="50" t="n">
        <v>932</v>
      </c>
      <c r="E685" s="51"/>
    </row>
    <row r="686" ht="12.75" customHeight="1">
      <c r="D686" s="47" t="s">
        <v>341</v>
      </c>
      <c r="E686" s="47"/>
    </row>
    <row r="687" ht="17.25" customHeight="1">
      <c r="D687" s="50" t="n">
        <v>888</v>
      </c>
      <c r="E687" s="51"/>
    </row>
    <row r="688" ht="12.75" customHeight="1">
      <c r="D688" s="47" t="s">
        <v>342</v>
      </c>
      <c r="E688" s="47"/>
    </row>
    <row r="689" ht="17.25" customHeight="1">
      <c r="D689" s="50" t="n">
        <v>869</v>
      </c>
      <c r="E689" s="51"/>
    </row>
    <row r="690" ht="12.75" customHeight="1">
      <c r="D690" s="47" t="s">
        <v>343</v>
      </c>
      <c r="E690" s="47"/>
    </row>
    <row r="691" ht="17.25" customHeight="1">
      <c r="D691" s="50" t="n">
        <v>863</v>
      </c>
      <c r="E691" s="51"/>
    </row>
    <row r="692" ht="12.75" customHeight="1">
      <c r="D692" s="47" t="s">
        <v>344</v>
      </c>
      <c r="E692" s="47"/>
    </row>
    <row r="693" ht="17.25" customHeight="1">
      <c r="D693" s="50" t="n">
        <v>863</v>
      </c>
      <c r="E693" s="51"/>
    </row>
    <row r="694" ht="12.75" customHeight="1">
      <c r="D694" s="47" t="s">
        <v>345</v>
      </c>
      <c r="E694" s="47"/>
    </row>
    <row r="695" ht="17.25" customHeight="1">
      <c r="D695" s="50" t="n">
        <v>854</v>
      </c>
      <c r="E695" s="51"/>
    </row>
    <row r="696" ht="12.75" customHeight="1">
      <c r="D696" s="47" t="s">
        <v>346</v>
      </c>
      <c r="E696" s="47"/>
    </row>
    <row r="697" ht="17.25" customHeight="1">
      <c r="D697" s="50" t="n">
        <v>827</v>
      </c>
      <c r="E697" s="51"/>
    </row>
    <row r="698" ht="12.75" customHeight="1">
      <c r="D698" s="47" t="s">
        <v>347</v>
      </c>
      <c r="E698" s="47"/>
    </row>
    <row r="699" ht="17.25" customHeight="1">
      <c r="D699" s="50" t="n">
        <v>827</v>
      </c>
      <c r="E699" s="51"/>
    </row>
    <row r="700" ht="12.75" customHeight="1">
      <c r="D700" s="47" t="s">
        <v>348</v>
      </c>
      <c r="E700" s="47"/>
    </row>
    <row r="701" ht="17.25" customHeight="1">
      <c r="D701" s="50" t="n">
        <v>827</v>
      </c>
      <c r="E701" s="51"/>
    </row>
    <row r="702" ht="12.75" customHeight="1">
      <c r="D702" s="47" t="s">
        <v>349</v>
      </c>
      <c r="E702" s="47"/>
    </row>
    <row r="703" ht="17.25" customHeight="1">
      <c r="D703" s="50" t="n">
        <v>812</v>
      </c>
      <c r="E703" s="51"/>
    </row>
    <row r="704" ht="12.75" customHeight="1">
      <c r="D704" s="47" t="s">
        <v>350</v>
      </c>
      <c r="E704" s="47"/>
    </row>
    <row r="705" ht="17.25" customHeight="1">
      <c r="D705" s="50" t="n">
        <v>812</v>
      </c>
      <c r="E705" s="51"/>
    </row>
    <row r="706" ht="12.75" customHeight="1">
      <c r="D706" s="47" t="s">
        <v>351</v>
      </c>
      <c r="E706" s="47"/>
    </row>
    <row r="707" ht="17.25" customHeight="1">
      <c r="D707" s="50" t="n">
        <v>800</v>
      </c>
      <c r="E707" s="51"/>
    </row>
    <row r="708" ht="12.75" customHeight="1">
      <c r="D708" s="47" t="s">
        <v>352</v>
      </c>
      <c r="E708" s="47"/>
    </row>
    <row r="709" ht="17.25" customHeight="1">
      <c r="D709" s="50" t="n">
        <v>800</v>
      </c>
      <c r="E709" s="51"/>
    </row>
    <row r="710" ht="12.75" customHeight="1">
      <c r="D710" s="47" t="s">
        <v>353</v>
      </c>
      <c r="E710" s="47"/>
    </row>
    <row r="711" ht="17.25" customHeight="1">
      <c r="D711" s="50" t="n">
        <v>800</v>
      </c>
      <c r="E711" s="51"/>
    </row>
    <row r="712" ht="12.75" customHeight="1">
      <c r="D712" s="47" t="s">
        <v>354</v>
      </c>
      <c r="E712" s="47"/>
    </row>
    <row r="713" ht="17.25" customHeight="1">
      <c r="D713" s="50" t="n">
        <v>800</v>
      </c>
      <c r="E713" s="51"/>
    </row>
    <row r="714" ht="12.75" customHeight="1">
      <c r="D714" s="47" t="s">
        <v>355</v>
      </c>
      <c r="E714" s="47"/>
    </row>
    <row r="715" ht="17.25" customHeight="1">
      <c r="D715" s="50" t="n">
        <v>800</v>
      </c>
      <c r="E715" s="51"/>
    </row>
    <row r="716" ht="12.75" customHeight="1">
      <c r="D716" s="47" t="s">
        <v>356</v>
      </c>
      <c r="E716" s="47"/>
    </row>
    <row r="717" ht="17.25" customHeight="1">
      <c r="D717" s="50" t="n">
        <v>787</v>
      </c>
      <c r="E717" s="51"/>
    </row>
    <row r="718" ht="12.75" customHeight="1">
      <c r="D718" s="47" t="s">
        <v>357</v>
      </c>
      <c r="E718" s="47"/>
    </row>
    <row r="719" ht="17.25" customHeight="1">
      <c r="D719" s="50" t="n">
        <v>776</v>
      </c>
      <c r="E719" s="51"/>
    </row>
    <row r="720" ht="12.75" customHeight="1">
      <c r="D720" s="47" t="s">
        <v>358</v>
      </c>
      <c r="E720" s="47"/>
    </row>
    <row r="721" ht="17.25" customHeight="1">
      <c r="D721" s="50" t="n">
        <v>762</v>
      </c>
      <c r="E721" s="51"/>
    </row>
    <row r="722" ht="12.75" customHeight="1">
      <c r="D722" s="47" t="s">
        <v>359</v>
      </c>
      <c r="E722" s="47"/>
    </row>
    <row r="723" ht="17.25" customHeight="1">
      <c r="D723" s="50" t="n">
        <v>755</v>
      </c>
      <c r="E723" s="51"/>
    </row>
    <row r="724" ht="12.75" customHeight="1">
      <c r="D724" s="47" t="s">
        <v>360</v>
      </c>
      <c r="E724" s="47"/>
    </row>
    <row r="725" ht="17.25" customHeight="1">
      <c r="D725" s="50" t="n">
        <v>752</v>
      </c>
      <c r="E725" s="51"/>
    </row>
    <row r="726" ht="12.75" customHeight="1">
      <c r="D726" s="47" t="s">
        <v>361</v>
      </c>
      <c r="E726" s="47"/>
    </row>
    <row r="727" ht="17.25" customHeight="1">
      <c r="D727" s="50" t="n">
        <v>752</v>
      </c>
      <c r="E727" s="51"/>
    </row>
    <row r="728" ht="12.75" customHeight="1">
      <c r="D728" s="47" t="s">
        <v>362</v>
      </c>
      <c r="E728" s="47"/>
    </row>
    <row r="729" ht="17.25" customHeight="1">
      <c r="D729" s="50" t="n">
        <v>725</v>
      </c>
      <c r="E729" s="51"/>
    </row>
    <row r="730" ht="12.75" customHeight="1">
      <c r="D730" s="47" t="s">
        <v>363</v>
      </c>
      <c r="E730" s="47"/>
    </row>
    <row r="731" ht="17.25" customHeight="1">
      <c r="D731" s="50" t="n">
        <v>724</v>
      </c>
      <c r="E731" s="51"/>
    </row>
    <row r="732" ht="12.75" customHeight="1">
      <c r="D732" s="47" t="n">
        <v>4</v>
      </c>
      <c r="E732" s="47"/>
    </row>
    <row r="733" ht="17.25" customHeight="1">
      <c r="D733" s="50" t="n">
        <v>701</v>
      </c>
      <c r="E733" s="51"/>
    </row>
    <row r="734" ht="12.75" customHeight="1">
      <c r="D734" s="47" t="s">
        <v>364</v>
      </c>
      <c r="E734" s="47"/>
    </row>
    <row r="735" ht="17.25" customHeight="1">
      <c r="D735" s="50" t="n">
        <v>701</v>
      </c>
      <c r="E735" s="51"/>
    </row>
    <row r="736" ht="12.75" customHeight="1">
      <c r="D736" s="47" t="s">
        <v>365</v>
      </c>
      <c r="E736" s="47"/>
    </row>
    <row r="737" ht="17.25" customHeight="1">
      <c r="D737" s="50" t="n">
        <v>697</v>
      </c>
      <c r="E737" s="51"/>
    </row>
    <row r="738" ht="12.75" customHeight="1">
      <c r="D738" s="47" t="s">
        <v>366</v>
      </c>
      <c r="E738" s="47"/>
    </row>
    <row r="739" ht="17.25" customHeight="1">
      <c r="D739" s="50" t="n">
        <v>697</v>
      </c>
      <c r="E739" s="51"/>
    </row>
    <row r="740" ht="12.75" customHeight="1">
      <c r="D740" s="47" t="s">
        <v>367</v>
      </c>
      <c r="E740" s="47"/>
    </row>
    <row r="741" ht="17.25" customHeight="1">
      <c r="D741" s="50" t="n">
        <v>656</v>
      </c>
      <c r="E741" s="51"/>
    </row>
    <row r="742" ht="12.75" customHeight="1">
      <c r="D742" s="47" t="s">
        <v>368</v>
      </c>
      <c r="E742" s="47"/>
    </row>
    <row r="743" ht="17.25" customHeight="1">
      <c r="D743" s="50" t="n">
        <v>653</v>
      </c>
      <c r="E743" s="51"/>
    </row>
    <row r="744" ht="12.75" customHeight="1">
      <c r="D744" s="47" t="s">
        <v>369</v>
      </c>
      <c r="E744" s="47"/>
    </row>
    <row r="745" ht="17.25" customHeight="1">
      <c r="D745" s="50" t="n">
        <v>647</v>
      </c>
      <c r="E745" s="51"/>
    </row>
    <row r="746" ht="12.75" customHeight="1">
      <c r="D746" s="47" t="s">
        <v>370</v>
      </c>
      <c r="E746" s="47"/>
    </row>
    <row r="747" ht="17.25" customHeight="1">
      <c r="D747" s="50" t="n">
        <v>644</v>
      </c>
      <c r="E747" s="51"/>
    </row>
    <row r="748" ht="12.75" customHeight="1">
      <c r="D748" s="47" t="s">
        <v>371</v>
      </c>
      <c r="E748" s="47"/>
    </row>
    <row r="749" ht="17.25" customHeight="1">
      <c r="D749" s="50" t="n">
        <v>638</v>
      </c>
      <c r="E749" s="51"/>
    </row>
    <row r="750" ht="12.75" customHeight="1">
      <c r="D750" s="47" t="s">
        <v>372</v>
      </c>
      <c r="E750" s="47"/>
    </row>
    <row r="751" ht="17.25" customHeight="1">
      <c r="D751" s="50" t="n">
        <v>638</v>
      </c>
      <c r="E751" s="51"/>
    </row>
    <row r="752" ht="12.75" customHeight="1">
      <c r="D752" s="47" t="s">
        <v>373</v>
      </c>
      <c r="E752" s="47"/>
    </row>
    <row r="753" ht="17.25" customHeight="1">
      <c r="D753" s="50" t="n">
        <v>626</v>
      </c>
      <c r="E753" s="51"/>
    </row>
    <row r="754" ht="12.75" customHeight="1">
      <c r="D754" s="47" t="s">
        <v>374</v>
      </c>
      <c r="E754" s="47"/>
    </row>
    <row r="755" ht="17.25" customHeight="1">
      <c r="D755" s="50" t="n">
        <v>623</v>
      </c>
      <c r="E755" s="51"/>
    </row>
    <row r="756" ht="12.75" customHeight="1">
      <c r="D756" s="47" t="s">
        <v>375</v>
      </c>
      <c r="E756" s="47"/>
    </row>
    <row r="757" ht="17.25" customHeight="1">
      <c r="D757" s="50" t="n">
        <v>612</v>
      </c>
      <c r="E757" s="51"/>
    </row>
    <row r="758" ht="12.75" customHeight="1">
      <c r="D758" s="47" t="s">
        <v>376</v>
      </c>
      <c r="E758" s="47"/>
    </row>
    <row r="759" ht="17.25" customHeight="1">
      <c r="D759" s="50" t="n">
        <v>611</v>
      </c>
      <c r="E759" s="51"/>
    </row>
    <row r="760" ht="12.75" customHeight="1">
      <c r="D760" s="47" t="s">
        <v>377</v>
      </c>
      <c r="E760" s="47"/>
    </row>
    <row r="761" ht="17.25" customHeight="1">
      <c r="D761" s="50" t="n">
        <v>611</v>
      </c>
      <c r="E761" s="51"/>
    </row>
    <row r="762" ht="12.75" customHeight="1">
      <c r="D762" s="47" t="s">
        <v>378</v>
      </c>
      <c r="E762" s="47"/>
    </row>
    <row r="763" ht="17.25" customHeight="1">
      <c r="D763" s="50" t="n">
        <v>598</v>
      </c>
      <c r="E763" s="51"/>
    </row>
    <row r="764" ht="12.75" customHeight="1">
      <c r="D764" s="47" t="s">
        <v>379</v>
      </c>
      <c r="E764" s="47"/>
    </row>
    <row r="765" ht="17.25" customHeight="1">
      <c r="D765" s="50" t="n">
        <v>598</v>
      </c>
      <c r="E765" s="51"/>
    </row>
    <row r="766" ht="12.75" customHeight="1">
      <c r="D766" s="47" t="s">
        <v>380</v>
      </c>
      <c r="E766" s="47"/>
    </row>
    <row r="767" ht="17.25" customHeight="1">
      <c r="D767" s="50" t="n">
        <v>593</v>
      </c>
      <c r="E767" s="51"/>
    </row>
    <row r="768" ht="12.75" customHeight="1">
      <c r="D768" s="47" t="s">
        <v>381</v>
      </c>
      <c r="E768" s="47"/>
    </row>
    <row r="769" ht="17.25" customHeight="1">
      <c r="D769" s="50" t="n">
        <v>593</v>
      </c>
      <c r="E769" s="51"/>
    </row>
    <row r="770" ht="12.75" customHeight="1">
      <c r="D770" s="47" t="s">
        <v>382</v>
      </c>
      <c r="E770" s="47"/>
    </row>
    <row r="771" ht="17.25" customHeight="1">
      <c r="D771" s="50" t="n">
        <v>593</v>
      </c>
      <c r="E771" s="51"/>
    </row>
    <row r="772" ht="12.75" customHeight="1">
      <c r="D772" s="47" t="s">
        <v>383</v>
      </c>
      <c r="E772" s="47"/>
    </row>
    <row r="773" ht="17.25" customHeight="1">
      <c r="D773" s="50" t="n">
        <v>584</v>
      </c>
      <c r="E773" s="51"/>
    </row>
    <row r="774" ht="12.75" customHeight="1">
      <c r="D774" s="47" t="s">
        <v>384</v>
      </c>
      <c r="E774" s="47"/>
    </row>
    <row r="775" ht="17.25" customHeight="1">
      <c r="D775" s="50" t="n">
        <v>584</v>
      </c>
      <c r="E775" s="51"/>
    </row>
    <row r="776" ht="12.75" customHeight="1">
      <c r="D776" s="47" t="s">
        <v>385</v>
      </c>
      <c r="E776" s="47"/>
    </row>
    <row r="777" ht="17.25" customHeight="1">
      <c r="D777" s="50" t="n">
        <v>566</v>
      </c>
      <c r="E777" s="51"/>
    </row>
    <row r="778" ht="12.75" customHeight="1">
      <c r="D778" s="47" t="s">
        <v>386</v>
      </c>
      <c r="E778" s="47"/>
    </row>
    <row r="779" ht="17.25" customHeight="1">
      <c r="D779" s="50" t="n">
        <v>563</v>
      </c>
      <c r="E779" s="51"/>
    </row>
    <row r="780" ht="12.75" customHeight="1">
      <c r="D780" s="47" t="s">
        <v>387</v>
      </c>
      <c r="E780" s="47"/>
    </row>
    <row r="781" ht="17.25" customHeight="1">
      <c r="D781" s="50" t="n">
        <v>560</v>
      </c>
      <c r="E781" s="51"/>
    </row>
    <row r="782" ht="12.75" customHeight="1">
      <c r="D782" s="47" t="s">
        <v>388</v>
      </c>
      <c r="E782" s="47"/>
    </row>
    <row r="783" ht="17.25" customHeight="1">
      <c r="D783" s="50" t="n">
        <v>560</v>
      </c>
      <c r="E783" s="51"/>
    </row>
    <row r="784" ht="12.75" customHeight="1">
      <c r="D784" s="47" t="s">
        <v>389</v>
      </c>
      <c r="E784" s="47"/>
    </row>
    <row r="785" ht="17.25" customHeight="1">
      <c r="D785" s="50" t="n">
        <v>554</v>
      </c>
      <c r="E785" s="51"/>
    </row>
    <row r="786" ht="12.75" customHeight="1">
      <c r="D786" s="47" t="s">
        <v>390</v>
      </c>
      <c r="E786" s="47"/>
    </row>
    <row r="787" ht="17.25" customHeight="1">
      <c r="D787" s="50" t="n">
        <v>554</v>
      </c>
      <c r="E787" s="51"/>
    </row>
    <row r="788" ht="12.75" customHeight="1">
      <c r="D788" s="47" t="s">
        <v>391</v>
      </c>
      <c r="E788" s="47"/>
    </row>
    <row r="789" ht="17.25" customHeight="1">
      <c r="D789" s="50" t="n">
        <v>548</v>
      </c>
      <c r="E789" s="51"/>
    </row>
    <row r="790" ht="12.75" customHeight="1">
      <c r="D790" s="47" t="s">
        <v>392</v>
      </c>
      <c r="E790" s="47"/>
    </row>
    <row r="791" ht="17.25" customHeight="1">
      <c r="D791" s="50" t="n">
        <v>536</v>
      </c>
      <c r="E791" s="51"/>
    </row>
    <row r="792" ht="12.75" customHeight="1">
      <c r="D792" s="47" t="s">
        <v>393</v>
      </c>
      <c r="E792" s="47"/>
    </row>
    <row r="793" ht="17.25" customHeight="1">
      <c r="D793" s="50" t="n">
        <v>530</v>
      </c>
      <c r="E793" s="51"/>
    </row>
    <row r="794" ht="12.75" customHeight="1">
      <c r="D794" s="47" t="s">
        <v>394</v>
      </c>
      <c r="E794" s="47"/>
    </row>
    <row r="795" ht="17.25" customHeight="1">
      <c r="D795" s="50" t="n">
        <v>530</v>
      </c>
      <c r="E795" s="51"/>
    </row>
    <row r="796" ht="12.75" customHeight="1">
      <c r="D796" s="47" t="s">
        <v>395</v>
      </c>
      <c r="E796" s="47"/>
    </row>
    <row r="797" ht="17.25" customHeight="1">
      <c r="D797" s="50" t="n">
        <v>530</v>
      </c>
      <c r="E797" s="51"/>
    </row>
    <row r="798" ht="12.75" customHeight="1">
      <c r="D798" s="47" t="s">
        <v>396</v>
      </c>
      <c r="E798" s="47"/>
    </row>
    <row r="799" ht="17.25" customHeight="1">
      <c r="D799" s="50" t="n">
        <v>520</v>
      </c>
      <c r="E799" s="51"/>
    </row>
    <row r="800" ht="12.75" customHeight="1">
      <c r="D800" s="47" t="s">
        <v>397</v>
      </c>
      <c r="E800" s="47"/>
    </row>
    <row r="801" ht="17.25" customHeight="1">
      <c r="D801" s="50" t="n">
        <v>512</v>
      </c>
      <c r="E801" s="51"/>
    </row>
    <row r="802" ht="12.75" customHeight="1">
      <c r="D802" s="47" t="s">
        <v>398</v>
      </c>
      <c r="E802" s="47"/>
    </row>
    <row r="803" ht="17.25" customHeight="1">
      <c r="D803" s="50" t="n">
        <v>509</v>
      </c>
      <c r="E803" s="51"/>
    </row>
    <row r="804" ht="12.75" customHeight="1">
      <c r="D804" s="47" t="s">
        <v>399</v>
      </c>
      <c r="E804" s="47"/>
    </row>
    <row r="805" ht="17.25" customHeight="1">
      <c r="D805" s="50" t="n">
        <v>506</v>
      </c>
      <c r="E805" s="51"/>
    </row>
    <row r="806" ht="12.75" customHeight="1">
      <c r="D806" s="47" t="s">
        <v>400</v>
      </c>
      <c r="E806" s="47"/>
    </row>
    <row r="807" ht="17.25" customHeight="1">
      <c r="D807" s="50" t="n">
        <v>503</v>
      </c>
      <c r="E807" s="51"/>
    </row>
    <row r="808" ht="12.75" customHeight="1">
      <c r="D808" s="47" t="s">
        <v>401</v>
      </c>
      <c r="E808" s="47"/>
    </row>
    <row r="809" ht="17.25" customHeight="1">
      <c r="D809" s="50" t="n">
        <v>503</v>
      </c>
      <c r="E809" s="51"/>
    </row>
    <row r="810" ht="12.75" customHeight="1">
      <c r="D810" s="47" t="s">
        <v>402</v>
      </c>
      <c r="E810" s="47"/>
    </row>
    <row r="811" ht="17.25" customHeight="1">
      <c r="D811" s="50" t="n">
        <v>503</v>
      </c>
      <c r="E811" s="51"/>
    </row>
    <row r="812" ht="12.75" customHeight="1">
      <c r="D812" s="47" t="s">
        <v>403</v>
      </c>
      <c r="E812" s="47"/>
    </row>
    <row r="813" ht="17.25" customHeight="1">
      <c r="D813" s="50" t="n">
        <v>472</v>
      </c>
      <c r="E813" s="51"/>
    </row>
    <row r="814" ht="12.75" customHeight="1">
      <c r="D814" s="47" t="s">
        <v>404</v>
      </c>
      <c r="E814" s="47"/>
    </row>
    <row r="815" ht="17.25" customHeight="1">
      <c r="D815" s="50" t="n">
        <v>415</v>
      </c>
      <c r="E815" s="51"/>
    </row>
    <row r="816" ht="12.75" customHeight="1">
      <c r="D816" s="47" t="s">
        <v>405</v>
      </c>
      <c r="E816" s="47"/>
    </row>
    <row r="817" ht="17.25" customHeight="1">
      <c r="D817" s="50" t="n">
        <v>370</v>
      </c>
      <c r="E817" s="51"/>
    </row>
    <row r="818" ht="12.75" customHeight="1">
      <c r="D818" s="47" t="s">
        <v>406</v>
      </c>
      <c r="E818" s="47"/>
    </row>
    <row r="819" ht="17.25" customHeight="1">
      <c r="D819" s="50" t="n">
        <v>344</v>
      </c>
      <c r="E819" s="51"/>
    </row>
    <row r="820" ht="12.75" customHeight="1">
      <c r="D820" s="47" t="s">
        <v>407</v>
      </c>
      <c r="E820" s="47"/>
    </row>
    <row r="821" ht="17.25" customHeight="1">
      <c r="D821" s="50" t="n">
        <v>310</v>
      </c>
      <c r="E821" s="51"/>
    </row>
    <row r="822" ht="12.75" customHeight="1">
      <c r="D822" s="47" t="s">
        <v>408</v>
      </c>
      <c r="E822" s="47"/>
    </row>
    <row r="823" ht="17.25" customHeight="1">
      <c r="D823" s="50" t="n">
        <v>295</v>
      </c>
      <c r="E823" s="51"/>
    </row>
    <row r="824" ht="12.75" customHeight="1">
      <c r="D824" s="47" t="s">
        <v>409</v>
      </c>
      <c r="E824" s="47"/>
    </row>
    <row r="825" ht="17.25" customHeight="1">
      <c r="D825" s="50" t="n">
        <v>285</v>
      </c>
      <c r="E825" s="51"/>
    </row>
    <row r="826" ht="12.75" customHeight="1">
      <c r="D826" s="47" t="s">
        <v>410</v>
      </c>
      <c r="E826" s="47"/>
    </row>
    <row r="827" ht="17.25" customHeight="1">
      <c r="D827" s="50" t="n">
        <v>284</v>
      </c>
      <c r="E827" s="51"/>
    </row>
    <row r="828" ht="12.75" customHeight="1">
      <c r="D828" s="47" t="s">
        <v>411</v>
      </c>
      <c r="E828" s="47"/>
    </row>
    <row r="829" ht="17.25" customHeight="1">
      <c r="D829" s="50" t="n">
        <v>265</v>
      </c>
      <c r="E829" s="51"/>
    </row>
    <row r="830" ht="12.75" customHeight="1">
      <c r="D830" s="47" t="s">
        <v>412</v>
      </c>
      <c r="E830" s="47"/>
    </row>
    <row r="831" ht="17.25" customHeight="1">
      <c r="D831" s="50" t="n">
        <v>265</v>
      </c>
      <c r="E831" s="51"/>
    </row>
    <row r="832" ht="12.75" customHeight="1">
      <c r="D832" s="47" t="s">
        <v>413</v>
      </c>
      <c r="E832" s="47"/>
    </row>
    <row r="833" ht="17.25" customHeight="1">
      <c r="D833" s="50" t="n">
        <v>265</v>
      </c>
      <c r="E833" s="51"/>
    </row>
    <row r="834" ht="12.75" customHeight="1">
      <c r="D834" s="47" t="s">
        <v>414</v>
      </c>
      <c r="E834" s="47"/>
    </row>
    <row r="835" ht="17.25" customHeight="1">
      <c r="D835" s="50" t="n">
        <v>245</v>
      </c>
      <c r="E835" s="51"/>
    </row>
    <row r="836" ht="12.75" customHeight="1">
      <c r="D836" s="47" t="s">
        <v>415</v>
      </c>
      <c r="E836" s="47"/>
    </row>
    <row r="837" ht="17.25" customHeight="1">
      <c r="D837" s="50" t="n">
        <v>245</v>
      </c>
      <c r="E837" s="51"/>
    </row>
    <row r="838" ht="12.75" customHeight="1">
      <c r="D838" s="47" t="s">
        <v>416</v>
      </c>
      <c r="E838" s="47"/>
    </row>
    <row r="839" ht="17.25" customHeight="1">
      <c r="D839" s="50" t="n">
        <v>215</v>
      </c>
      <c r="E839" s="51"/>
    </row>
    <row r="840" ht="12.75" customHeight="1">
      <c r="D840" s="47" t="s">
        <v>417</v>
      </c>
      <c r="E840" s="47"/>
    </row>
    <row r="841" ht="17.25" customHeight="1">
      <c r="D841" s="50" t="n">
        <v>215</v>
      </c>
      <c r="E841" s="51"/>
    </row>
    <row r="842" ht="12.75" customHeight="1">
      <c r="D842" s="47" t="s">
        <v>418</v>
      </c>
      <c r="E842" s="47"/>
    </row>
    <row r="843" ht="17.25" customHeight="1">
      <c r="D843" s="50" t="n">
        <v>215</v>
      </c>
      <c r="E843" s="51"/>
    </row>
    <row r="844" ht="12.75" customHeight="1">
      <c r="D844" s="47" t="s">
        <v>419</v>
      </c>
      <c r="E844" s="47"/>
    </row>
    <row r="845" ht="17.25" customHeight="1">
      <c r="D845" s="50" t="n">
        <v>205</v>
      </c>
      <c r="E845" s="51"/>
    </row>
    <row r="846" ht="12.75" customHeight="1">
      <c r="D846" s="47" t="s">
        <v>420</v>
      </c>
      <c r="E846" s="47"/>
    </row>
    <row r="847" ht="17.25" customHeight="1">
      <c r="D847" s="50" t="n">
        <v>190</v>
      </c>
      <c r="E847" s="51"/>
    </row>
    <row r="848" ht="12.75" customHeight="1">
      <c r="D848" s="47" t="s">
        <v>421</v>
      </c>
      <c r="E848" s="47"/>
    </row>
    <row r="849" ht="17.25" customHeight="1">
      <c r="D849" s="50" t="n">
        <v>175</v>
      </c>
      <c r="E849" s="51"/>
    </row>
    <row r="850" ht="12.75" customHeight="1">
      <c r="D850" s="47" t="s">
        <v>422</v>
      </c>
      <c r="E850" s="47"/>
    </row>
    <row r="851" ht="17.25" customHeight="1">
      <c r="D851" s="50" t="n">
        <v>172</v>
      </c>
      <c r="E851" s="51"/>
    </row>
    <row r="852" ht="12.75" customHeight="1">
      <c r="D852" s="47" t="s">
        <v>423</v>
      </c>
      <c r="E852" s="47"/>
    </row>
    <row r="853" ht="17.25" customHeight="1">
      <c r="D853" s="50" t="n">
        <v>160</v>
      </c>
      <c r="E853" s="51"/>
    </row>
    <row r="854" ht="12.75" customHeight="1">
      <c r="D854" s="47" t="s">
        <v>424</v>
      </c>
      <c r="E854" s="47"/>
    </row>
    <row r="855" ht="17.25" customHeight="1">
      <c r="D855" s="50" t="n">
        <v>154</v>
      </c>
      <c r="E855" s="51"/>
    </row>
    <row r="856" ht="12.75" customHeight="1">
      <c r="D856" s="47" t="s">
        <v>425</v>
      </c>
      <c r="E856" s="47"/>
    </row>
    <row r="857" ht="17.25" customHeight="1">
      <c r="D857" s="50" t="n">
        <v>132</v>
      </c>
      <c r="E857" s="51"/>
    </row>
    <row r="858" ht="12.75" customHeight="1">
      <c r="D858" s="47" t="s">
        <v>426</v>
      </c>
      <c r="E858" s="47"/>
    </row>
    <row r="859" ht="17.25" customHeight="1">
      <c r="D859" s="50" t="n">
        <v>126</v>
      </c>
      <c r="E859" s="51"/>
    </row>
    <row r="860" ht="12.75" customHeight="1">
      <c r="D860" s="47" t="s">
        <v>427</v>
      </c>
      <c r="E860" s="47"/>
    </row>
    <row r="861" ht="17.25" customHeight="1">
      <c r="D861" s="50" t="n">
        <v>124</v>
      </c>
      <c r="E861" s="5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3.998046875" defaultRowHeight="12.75" customHeight="1"/>
  <cols>
    <col min="1" max="2" width="15.3310546875" customWidth="1" style="19"/>
    <col min="3" max="3" width="19.998046875" customWidth="1" style="5"/>
    <col min="4" max="16" width="10.998046875" customWidth="1" style="5"/>
  </cols>
  <sheetData>
    <row r="1" s="39" customFormat="1" ht="22" customHeight="1">
      <c r="A1" s="40" t="s">
        <v>0</v>
      </c>
      <c r="B1" s="40" t="s">
        <v>1</v>
      </c>
      <c r="C1" s="41" t="s">
        <v>428</v>
      </c>
      <c r="D1" s="42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="39" customFormat="1" ht="22" customHeight="1" hidden="1">
      <c r="A2" s="19" t="s">
        <v>2</v>
      </c>
      <c r="B2" s="19" t="n">
        <v>12344300</v>
      </c>
      <c r="C2" s="41" t="s">
        <v>429</v>
      </c>
      <c r="D2" s="42"/>
    </row>
    <row r="3" s="39" customFormat="1" ht="22" customHeight="1" hidden="1">
      <c r="A3" s="19" t="s">
        <v>3</v>
      </c>
      <c r="B3" s="19" t="n">
        <v>5805400</v>
      </c>
      <c r="C3" s="41" t="s">
        <v>429</v>
      </c>
      <c r="D3" s="42"/>
    </row>
    <row r="4" s="39" customFormat="1" ht="22" customHeight="1">
      <c r="A4" s="19" t="s">
        <v>4</v>
      </c>
      <c r="B4" s="19" t="n">
        <v>1663700</v>
      </c>
      <c r="C4" s="41" t="s">
        <v>430</v>
      </c>
      <c r="D4" s="42"/>
    </row>
    <row r="5" s="39" customFormat="1" ht="22" customHeight="1">
      <c r="A5" s="19" t="s">
        <v>5</v>
      </c>
      <c r="B5" s="19" t="n">
        <v>1034200</v>
      </c>
      <c r="C5" s="41" t="s">
        <v>430</v>
      </c>
      <c r="D5" s="42"/>
    </row>
    <row r="6" s="39" customFormat="1" ht="22" customHeight="1">
      <c r="A6" s="19" t="s">
        <v>6</v>
      </c>
      <c r="B6" s="19" t="n">
        <v>754900</v>
      </c>
      <c r="C6" s="41" t="s">
        <v>430</v>
      </c>
      <c r="D6" s="42"/>
    </row>
    <row r="7" s="39" customFormat="1" ht="22" customHeight="1" hidden="1">
      <c r="A7" s="19" t="s">
        <v>7</v>
      </c>
      <c r="B7" s="19" t="n">
        <v>690500</v>
      </c>
      <c r="C7" s="41" t="s">
        <v>431</v>
      </c>
      <c r="D7" s="42"/>
    </row>
    <row r="8" s="39" customFormat="1" ht="22" customHeight="1" hidden="1">
      <c r="A8" s="19" t="s">
        <v>8</v>
      </c>
      <c r="B8" s="19" t="n">
        <v>563200</v>
      </c>
      <c r="C8" s="41" t="s">
        <v>429</v>
      </c>
      <c r="D8" s="42"/>
    </row>
    <row r="9" s="39" customFormat="1" ht="22" customHeight="1" hidden="1">
      <c r="A9" s="19" t="s">
        <v>9</v>
      </c>
      <c r="B9" s="19" t="n">
        <v>545000</v>
      </c>
      <c r="C9" s="41" t="s">
        <v>432</v>
      </c>
      <c r="D9" s="42"/>
    </row>
    <row r="10" s="39" customFormat="1" ht="22" customHeight="1" hidden="1">
      <c r="A10" s="19" t="s">
        <v>10</v>
      </c>
      <c r="B10" s="19" t="n">
        <v>516000</v>
      </c>
      <c r="C10" s="41" t="s">
        <v>429</v>
      </c>
      <c r="D10" s="42"/>
    </row>
    <row r="11" s="39" customFormat="1" ht="22" customHeight="1">
      <c r="A11" s="19" t="s">
        <v>11</v>
      </c>
      <c r="B11" s="19" t="n">
        <v>451500</v>
      </c>
      <c r="C11" s="41" t="s">
        <v>430</v>
      </c>
      <c r="D11" s="42"/>
    </row>
    <row r="12" s="39" customFormat="1" ht="22" customHeight="1" hidden="1">
      <c r="A12" s="19" t="s">
        <v>12</v>
      </c>
      <c r="B12" s="19" t="n">
        <v>415400</v>
      </c>
      <c r="C12" s="41" t="s">
        <v>431</v>
      </c>
      <c r="D12" s="42"/>
    </row>
    <row r="13" s="39" customFormat="1" ht="22" customHeight="1" hidden="1">
      <c r="A13" s="19" t="s">
        <v>13</v>
      </c>
      <c r="B13" s="19" t="n">
        <v>401300</v>
      </c>
      <c r="C13" s="41" t="s">
        <v>432</v>
      </c>
      <c r="D13" s="42"/>
    </row>
    <row r="14" s="39" customFormat="1" ht="22" customHeight="1" hidden="1">
      <c r="A14" s="19" t="s">
        <v>14</v>
      </c>
      <c r="B14" s="19" t="n">
        <v>400300</v>
      </c>
      <c r="C14" s="41" t="s">
        <v>432</v>
      </c>
      <c r="D14" s="42"/>
    </row>
    <row r="15" s="39" customFormat="1" ht="22" customHeight="1" hidden="1">
      <c r="A15" s="19" t="s">
        <v>15</v>
      </c>
      <c r="B15" s="19" t="n">
        <v>384600</v>
      </c>
      <c r="C15" s="41" t="s">
        <v>433</v>
      </c>
      <c r="D15" s="42"/>
    </row>
    <row r="16" s="39" customFormat="1" ht="22" customHeight="1" hidden="1">
      <c r="A16" s="19" t="s">
        <v>16</v>
      </c>
      <c r="B16" s="19" t="n">
        <v>381600</v>
      </c>
      <c r="C16" s="41" t="s">
        <v>432</v>
      </c>
      <c r="D16" s="42"/>
    </row>
    <row r="17" s="39" customFormat="1" ht="22" customHeight="1" hidden="1">
      <c r="A17" s="19" t="s">
        <v>17</v>
      </c>
      <c r="B17" s="19" t="n">
        <v>377100</v>
      </c>
      <c r="C17" s="41" t="s">
        <v>429</v>
      </c>
      <c r="D17" s="42"/>
    </row>
    <row r="18" s="39" customFormat="1" ht="22" customHeight="1" hidden="1">
      <c r="A18" s="19" t="s">
        <v>18</v>
      </c>
      <c r="B18" s="19" t="n">
        <v>358100</v>
      </c>
      <c r="C18" s="41" t="s">
        <v>433</v>
      </c>
      <c r="D18" s="42"/>
    </row>
    <row r="19" s="39" customFormat="1" ht="22" customHeight="1">
      <c r="A19" s="19" t="s">
        <v>19</v>
      </c>
      <c r="B19" s="19" t="n">
        <v>352200</v>
      </c>
      <c r="C19" s="41" t="s">
        <v>430</v>
      </c>
      <c r="D19" s="42"/>
    </row>
    <row r="20" s="39" customFormat="1" ht="22" customHeight="1">
      <c r="A20" s="19" t="s">
        <v>20</v>
      </c>
      <c r="B20" s="19" t="n">
        <v>339900</v>
      </c>
      <c r="C20" s="41" t="s">
        <v>430</v>
      </c>
      <c r="D20" s="42"/>
    </row>
    <row r="21" s="39" customFormat="1" ht="22" customHeight="1" hidden="1">
      <c r="A21" s="19" t="s">
        <v>21</v>
      </c>
      <c r="B21" s="19" t="n">
        <v>338800</v>
      </c>
      <c r="C21" s="41" t="s">
        <v>431</v>
      </c>
      <c r="D21" s="42"/>
    </row>
    <row r="22" s="39" customFormat="1" ht="22" customHeight="1" hidden="1">
      <c r="A22" s="19" t="s">
        <v>22</v>
      </c>
      <c r="B22" s="19" t="n">
        <v>304200</v>
      </c>
      <c r="C22" s="41" t="s">
        <v>431</v>
      </c>
      <c r="D22" s="42"/>
    </row>
    <row r="23" s="39" customFormat="1" ht="22" customHeight="1" hidden="1">
      <c r="A23" s="19" t="s">
        <v>23</v>
      </c>
      <c r="B23" s="19" t="n">
        <v>296600</v>
      </c>
      <c r="C23" s="41" t="s">
        <v>432</v>
      </c>
      <c r="D23" s="42"/>
    </row>
    <row r="24" s="39" customFormat="1" ht="22" customHeight="1" hidden="1">
      <c r="A24" s="19" t="s">
        <v>24</v>
      </c>
      <c r="B24" s="19" t="n">
        <v>296100</v>
      </c>
      <c r="C24" s="41" t="s">
        <v>433</v>
      </c>
      <c r="D24" s="42"/>
    </row>
    <row r="25" s="39" customFormat="1" ht="22" customHeight="1">
      <c r="A25" s="19" t="s">
        <v>25</v>
      </c>
      <c r="B25" s="19" t="n">
        <v>295700</v>
      </c>
      <c r="C25" s="41" t="s">
        <v>430</v>
      </c>
      <c r="D25" s="42"/>
    </row>
    <row r="26" s="39" customFormat="1" ht="22" customHeight="1" hidden="1">
      <c r="A26" s="19" t="s">
        <v>26</v>
      </c>
      <c r="B26" s="19" t="n">
        <v>293500</v>
      </c>
      <c r="C26" s="41" t="s">
        <v>432</v>
      </c>
      <c r="D26" s="42"/>
    </row>
    <row r="27" s="39" customFormat="1" ht="22" customHeight="1">
      <c r="A27" s="19" t="s">
        <v>27</v>
      </c>
      <c r="B27" s="19" t="n">
        <v>285500</v>
      </c>
      <c r="C27" s="41" t="s">
        <v>430</v>
      </c>
      <c r="D27" s="42"/>
    </row>
    <row r="28" s="39" customFormat="1" ht="22" customHeight="1" hidden="1">
      <c r="A28" s="19" t="s">
        <v>28</v>
      </c>
      <c r="B28" s="19" t="n">
        <v>271600</v>
      </c>
      <c r="C28" s="41" t="s">
        <v>434</v>
      </c>
      <c r="D28" s="42"/>
    </row>
    <row r="29" s="39" customFormat="1" ht="22" customHeight="1">
      <c r="A29" s="19" t="s">
        <v>29</v>
      </c>
      <c r="B29" s="19" t="n">
        <v>261400</v>
      </c>
      <c r="C29" s="41" t="s">
        <v>430</v>
      </c>
      <c r="D29" s="42"/>
    </row>
    <row r="30" s="39" customFormat="1" ht="22" customHeight="1">
      <c r="A30" s="19" t="s">
        <v>30</v>
      </c>
      <c r="B30" s="19" t="n">
        <v>260600</v>
      </c>
      <c r="C30" s="41" t="s">
        <v>430</v>
      </c>
      <c r="D30" s="42"/>
    </row>
    <row r="31" s="39" customFormat="1" ht="22" customHeight="1">
      <c r="A31" s="19" t="s">
        <v>31</v>
      </c>
      <c r="B31" s="19" t="n">
        <v>248900</v>
      </c>
      <c r="C31" s="41" t="s">
        <v>430</v>
      </c>
      <c r="D31" s="42"/>
    </row>
    <row r="32" s="39" customFormat="1" ht="22" customHeight="1" hidden="1">
      <c r="A32" s="19" t="s">
        <v>32</v>
      </c>
      <c r="B32" s="19" t="n">
        <v>235400</v>
      </c>
      <c r="C32" s="41" t="s">
        <v>433</v>
      </c>
      <c r="D32" s="42"/>
    </row>
    <row r="33" s="39" customFormat="1" ht="22" customHeight="1" hidden="1">
      <c r="A33" s="19" t="s">
        <v>33</v>
      </c>
      <c r="B33" s="19" t="n">
        <v>234800</v>
      </c>
      <c r="C33" s="41" t="s">
        <v>432</v>
      </c>
      <c r="D33" s="42"/>
    </row>
    <row r="34" s="39" customFormat="1" ht="22" customHeight="1">
      <c r="A34" s="19" t="s">
        <v>34</v>
      </c>
      <c r="B34" s="19" t="n">
        <v>231600</v>
      </c>
      <c r="C34" s="41" t="s">
        <v>430</v>
      </c>
      <c r="D34" s="42"/>
    </row>
    <row r="35" s="39" customFormat="1" ht="22" customHeight="1" hidden="1">
      <c r="A35" s="19" t="s">
        <v>35</v>
      </c>
      <c r="B35" s="19" t="n">
        <v>217300</v>
      </c>
      <c r="C35" s="41" t="s">
        <v>432</v>
      </c>
      <c r="D35" s="42"/>
    </row>
    <row r="36" s="39" customFormat="1" ht="22" customHeight="1" hidden="1">
      <c r="A36" s="19" t="s">
        <v>36</v>
      </c>
      <c r="B36" s="19" t="n">
        <v>214500</v>
      </c>
      <c r="C36" s="41" t="s">
        <v>429</v>
      </c>
      <c r="D36" s="44"/>
    </row>
    <row r="37" s="39" customFormat="1" ht="22" customHeight="1" hidden="1">
      <c r="A37" s="19" t="s">
        <v>37</v>
      </c>
      <c r="B37" s="19" t="n">
        <v>207600</v>
      </c>
      <c r="C37" s="41" t="s">
        <v>429</v>
      </c>
      <c r="D37" s="42"/>
    </row>
    <row r="38" s="39" customFormat="1" ht="22" customHeight="1">
      <c r="A38" s="19" t="s">
        <v>38</v>
      </c>
      <c r="B38" s="19" t="n">
        <v>201300</v>
      </c>
      <c r="C38" s="41" t="s">
        <v>430</v>
      </c>
      <c r="D38" s="42"/>
    </row>
    <row r="39" s="39" customFormat="1" ht="22" customHeight="1" hidden="1">
      <c r="A39" s="19" t="s">
        <v>39</v>
      </c>
      <c r="B39" s="19" t="n">
        <v>199700</v>
      </c>
      <c r="C39" s="41" t="s">
        <v>433</v>
      </c>
      <c r="D39" s="42"/>
    </row>
    <row r="40" s="39" customFormat="1" ht="22" customHeight="1">
      <c r="A40" s="19" t="s">
        <v>40</v>
      </c>
      <c r="B40" s="19" t="n">
        <v>192100</v>
      </c>
      <c r="C40" s="41" t="s">
        <v>430</v>
      </c>
      <c r="D40" s="42"/>
    </row>
    <row r="41" s="39" customFormat="1" ht="22" customHeight="1" hidden="1">
      <c r="A41" s="19" t="s">
        <v>41</v>
      </c>
      <c r="B41" s="19" t="n">
        <v>191500</v>
      </c>
      <c r="C41" s="41" t="s">
        <v>431</v>
      </c>
      <c r="D41" s="42"/>
    </row>
    <row r="42" s="39" customFormat="1" ht="22" customHeight="1">
      <c r="A42" s="19" t="s">
        <v>42</v>
      </c>
      <c r="B42" s="19" t="n">
        <v>174600</v>
      </c>
      <c r="C42" s="41" t="s">
        <v>430</v>
      </c>
      <c r="D42" s="42"/>
    </row>
    <row r="43" s="39" customFormat="1" ht="22" customHeight="1" hidden="1">
      <c r="A43" s="19" t="s">
        <v>43</v>
      </c>
      <c r="B43" s="19" t="n">
        <v>171900</v>
      </c>
      <c r="C43" s="41" t="s">
        <v>433</v>
      </c>
      <c r="D43" s="42"/>
    </row>
    <row r="44" s="39" customFormat="1" ht="22" customHeight="1" hidden="1">
      <c r="A44" s="19" t="s">
        <v>44</v>
      </c>
      <c r="B44" s="19" t="n">
        <v>165500</v>
      </c>
      <c r="C44" s="41" t="s">
        <v>429</v>
      </c>
      <c r="D44" s="42"/>
    </row>
    <row r="45" s="39" customFormat="1" ht="22" customHeight="1">
      <c r="A45" s="19" t="s">
        <v>45</v>
      </c>
      <c r="B45" s="19" t="n">
        <v>164100</v>
      </c>
      <c r="C45" s="41" t="s">
        <v>430</v>
      </c>
      <c r="D45" s="42"/>
    </row>
    <row r="46" s="39" customFormat="1" ht="22" customHeight="1" hidden="1">
      <c r="A46" s="19" t="s">
        <v>46</v>
      </c>
      <c r="B46" s="19" t="n">
        <v>163600</v>
      </c>
      <c r="C46" s="41" t="s">
        <v>433</v>
      </c>
      <c r="D46" s="42"/>
    </row>
    <row r="47" s="39" customFormat="1" ht="22" customHeight="1" hidden="1">
      <c r="A47" s="19" t="s">
        <v>47</v>
      </c>
      <c r="B47" s="19" t="n">
        <v>152300</v>
      </c>
      <c r="C47" s="41" t="s">
        <v>429</v>
      </c>
      <c r="D47" s="42"/>
    </row>
    <row r="48" s="39" customFormat="1" ht="22" customHeight="1" hidden="1">
      <c r="A48" s="19" t="s">
        <v>48</v>
      </c>
      <c r="B48" s="19" t="n">
        <v>150300</v>
      </c>
      <c r="C48" s="41" t="s">
        <v>429</v>
      </c>
      <c r="D48" s="42"/>
    </row>
    <row r="49" s="39" customFormat="1" ht="22" customHeight="1" hidden="1">
      <c r="A49" s="19" t="n">
        <v>2024</v>
      </c>
      <c r="B49" s="19" t="n">
        <v>149800</v>
      </c>
      <c r="C49" s="41" t="s">
        <v>433</v>
      </c>
      <c r="D49" s="42"/>
    </row>
    <row r="50" s="39" customFormat="1" ht="22" customHeight="1" hidden="1">
      <c r="A50" s="19" t="s">
        <v>49</v>
      </c>
      <c r="B50" s="19" t="n">
        <v>147000</v>
      </c>
      <c r="C50" s="41" t="s">
        <v>431</v>
      </c>
      <c r="D50" s="42"/>
    </row>
    <row r="51" s="39" customFormat="1" ht="22" customHeight="1">
      <c r="A51" s="19" t="s">
        <v>50</v>
      </c>
      <c r="B51" s="19" t="n">
        <v>145900</v>
      </c>
      <c r="C51" s="41" t="s">
        <v>430</v>
      </c>
      <c r="D51" s="42"/>
    </row>
    <row r="52" s="39" customFormat="1" ht="22" customHeight="1">
      <c r="A52" s="19" t="s">
        <v>51</v>
      </c>
      <c r="B52" s="19" t="n">
        <v>136300</v>
      </c>
      <c r="C52" s="41" t="s">
        <v>430</v>
      </c>
      <c r="D52" s="42"/>
    </row>
    <row r="53" s="39" customFormat="1" ht="22" customHeight="1">
      <c r="A53" s="19" t="s">
        <v>52</v>
      </c>
      <c r="B53" s="19" t="n">
        <v>129100</v>
      </c>
      <c r="C53" s="41" t="s">
        <v>430</v>
      </c>
      <c r="D53" s="42"/>
    </row>
    <row r="54" s="39" customFormat="1" ht="22" customHeight="1" hidden="1">
      <c r="A54" s="19" t="s">
        <v>53</v>
      </c>
      <c r="B54" s="19" t="n">
        <v>125800</v>
      </c>
      <c r="C54" s="41" t="s">
        <v>431</v>
      </c>
      <c r="D54" s="42"/>
    </row>
    <row r="55" s="39" customFormat="1" ht="22" customHeight="1" hidden="1">
      <c r="A55" s="19" t="s">
        <v>54</v>
      </c>
      <c r="B55" s="19" t="n">
        <v>118400</v>
      </c>
      <c r="C55" s="41" t="s">
        <v>429</v>
      </c>
      <c r="D55" s="42"/>
    </row>
    <row r="56" s="39" customFormat="1" ht="22" customHeight="1" hidden="1">
      <c r="A56" s="19" t="s">
        <v>55</v>
      </c>
      <c r="B56" s="19" t="n">
        <v>108500</v>
      </c>
      <c r="C56" s="41" t="s">
        <v>434</v>
      </c>
      <c r="D56" s="42"/>
    </row>
    <row r="57" s="39" customFormat="1" ht="22" customHeight="1">
      <c r="A57" s="19" t="s">
        <v>56</v>
      </c>
      <c r="B57" s="19" t="n">
        <v>106200</v>
      </c>
      <c r="C57" s="41" t="s">
        <v>430</v>
      </c>
      <c r="D57" s="42"/>
    </row>
    <row r="58" s="39" customFormat="1" ht="22" customHeight="1" hidden="1">
      <c r="A58" s="19" t="s">
        <v>57</v>
      </c>
      <c r="B58" s="19" t="n">
        <v>102300</v>
      </c>
      <c r="C58" s="41" t="s">
        <v>433</v>
      </c>
      <c r="D58" s="42"/>
    </row>
    <row r="59" s="39" customFormat="1" ht="22" customHeight="1">
      <c r="A59" s="19" t="s">
        <v>58</v>
      </c>
      <c r="B59" s="19" t="n">
        <v>98400</v>
      </c>
      <c r="C59" s="41" t="s">
        <v>430</v>
      </c>
      <c r="D59" s="42"/>
    </row>
    <row r="60" s="39" customFormat="1" ht="22" customHeight="1" hidden="1">
      <c r="A60" s="19" t="s">
        <v>59</v>
      </c>
      <c r="B60" s="19" t="n">
        <v>97100</v>
      </c>
      <c r="C60" s="41" t="s">
        <v>431</v>
      </c>
      <c r="D60" s="42"/>
    </row>
    <row r="61" s="39" customFormat="1" ht="22" customHeight="1">
      <c r="A61" s="19" t="s">
        <v>60</v>
      </c>
      <c r="B61" s="19" t="n">
        <v>96700</v>
      </c>
      <c r="C61" s="41" t="s">
        <v>430</v>
      </c>
      <c r="D61" s="42"/>
    </row>
    <row r="62" s="39" customFormat="1" ht="22" customHeight="1">
      <c r="A62" s="19" t="s">
        <v>61</v>
      </c>
      <c r="B62" s="19" t="n">
        <v>95300</v>
      </c>
      <c r="C62" s="41" t="s">
        <v>430</v>
      </c>
      <c r="D62" s="42"/>
    </row>
    <row r="63" s="39" customFormat="1" ht="22" customHeight="1" hidden="1">
      <c r="A63" s="19" t="s">
        <v>62</v>
      </c>
      <c r="B63" s="19" t="n">
        <v>95200</v>
      </c>
      <c r="C63" s="41" t="s">
        <v>429</v>
      </c>
      <c r="D63" s="42"/>
    </row>
    <row r="64" s="39" customFormat="1" ht="22" customHeight="1">
      <c r="A64" s="19" t="s">
        <v>63</v>
      </c>
      <c r="B64" s="19" t="n">
        <v>94000</v>
      </c>
      <c r="C64" s="41" t="s">
        <v>430</v>
      </c>
      <c r="D64" s="42"/>
    </row>
    <row r="65" s="39" customFormat="1" ht="22" customHeight="1" hidden="1">
      <c r="A65" s="19" t="s">
        <v>64</v>
      </c>
      <c r="B65" s="19" t="n">
        <v>93000</v>
      </c>
      <c r="C65" s="41" t="s">
        <v>434</v>
      </c>
      <c r="D65" s="42"/>
    </row>
    <row r="66" s="39" customFormat="1" ht="22" customHeight="1">
      <c r="A66" s="19" t="s">
        <v>65</v>
      </c>
      <c r="B66" s="19" t="n">
        <v>91600</v>
      </c>
      <c r="C66" s="41" t="s">
        <v>430</v>
      </c>
      <c r="D66" s="42"/>
    </row>
    <row r="67" s="39" customFormat="1" ht="22" customHeight="1" hidden="1">
      <c r="A67" s="19" t="s">
        <v>66</v>
      </c>
      <c r="B67" s="19" t="n">
        <v>89100</v>
      </c>
      <c r="C67" s="41" t="s">
        <v>433</v>
      </c>
      <c r="D67" s="42"/>
    </row>
    <row r="68" s="39" customFormat="1" ht="22" customHeight="1">
      <c r="A68" s="19" t="s">
        <v>67</v>
      </c>
      <c r="B68" s="19" t="n">
        <v>89100</v>
      </c>
      <c r="C68" s="41" t="s">
        <v>430</v>
      </c>
      <c r="D68" s="42"/>
    </row>
    <row r="69" s="39" customFormat="1" ht="22" customHeight="1" hidden="1">
      <c r="A69" s="19" t="s">
        <v>68</v>
      </c>
      <c r="B69" s="19" t="n">
        <v>88600</v>
      </c>
      <c r="C69" s="41" t="s">
        <v>431</v>
      </c>
      <c r="D69" s="42"/>
    </row>
    <row r="70" s="39" customFormat="1" ht="22" customHeight="1" hidden="1">
      <c r="A70" s="19" t="s">
        <v>69</v>
      </c>
      <c r="B70" s="19" t="n">
        <v>86400</v>
      </c>
      <c r="C70" s="41" t="s">
        <v>431</v>
      </c>
      <c r="D70" s="42"/>
    </row>
    <row r="71" s="39" customFormat="1" ht="22" customHeight="1" hidden="1">
      <c r="A71" s="19" t="s">
        <v>70</v>
      </c>
      <c r="B71" s="19" t="n">
        <v>86100</v>
      </c>
      <c r="C71" s="41" t="s">
        <v>433</v>
      </c>
      <c r="D71" s="42"/>
    </row>
    <row r="72" s="39" customFormat="1" ht="22" customHeight="1">
      <c r="A72" s="19" t="s">
        <v>71</v>
      </c>
      <c r="B72" s="19" t="n">
        <v>84200</v>
      </c>
      <c r="C72" s="41" t="s">
        <v>430</v>
      </c>
      <c r="D72" s="42"/>
    </row>
    <row r="73" s="39" customFormat="1" ht="22" customHeight="1" hidden="1">
      <c r="A73" s="19" t="s">
        <v>72</v>
      </c>
      <c r="B73" s="19" t="n">
        <v>84000</v>
      </c>
      <c r="C73" s="41" t="s">
        <v>429</v>
      </c>
      <c r="D73" s="42"/>
    </row>
    <row r="74" s="39" customFormat="1" ht="22" customHeight="1">
      <c r="A74" s="19" t="s">
        <v>73</v>
      </c>
      <c r="B74" s="19" t="n">
        <v>83800</v>
      </c>
      <c r="C74" s="41" t="s">
        <v>430</v>
      </c>
      <c r="D74" s="42"/>
    </row>
    <row r="75" s="39" customFormat="1" ht="22" customHeight="1" hidden="1">
      <c r="A75" s="19" t="s">
        <v>74</v>
      </c>
      <c r="B75" s="19" t="n">
        <v>80600</v>
      </c>
      <c r="C75" s="41" t="s">
        <v>432</v>
      </c>
      <c r="D75" s="42"/>
    </row>
    <row r="76" s="39" customFormat="1" ht="22" customHeight="1">
      <c r="A76" s="19" t="s">
        <v>75</v>
      </c>
      <c r="B76" s="19" t="n">
        <v>77700</v>
      </c>
      <c r="C76" s="41" t="s">
        <v>430</v>
      </c>
      <c r="D76" s="42"/>
    </row>
    <row r="77" s="39" customFormat="1" ht="22" customHeight="1">
      <c r="A77" s="19" t="s">
        <v>76</v>
      </c>
      <c r="B77" s="19" t="n">
        <v>76900</v>
      </c>
      <c r="C77" s="41" t="s">
        <v>430</v>
      </c>
      <c r="D77" s="42"/>
    </row>
    <row r="78" s="39" customFormat="1" ht="22" customHeight="1" hidden="1">
      <c r="A78" s="19" t="s">
        <v>77</v>
      </c>
      <c r="B78" s="19" t="n">
        <v>75000</v>
      </c>
      <c r="C78" s="41" t="s">
        <v>433</v>
      </c>
      <c r="D78" s="42"/>
    </row>
    <row r="79" s="39" customFormat="1" ht="22" customHeight="1" hidden="1">
      <c r="A79" s="19" t="s">
        <v>78</v>
      </c>
      <c r="B79" s="19" t="n">
        <v>73500</v>
      </c>
      <c r="C79" s="41" t="s">
        <v>432</v>
      </c>
      <c r="D79" s="42"/>
    </row>
    <row r="80" s="39" customFormat="1" ht="22" customHeight="1" hidden="1">
      <c r="A80" s="19" t="s">
        <v>79</v>
      </c>
      <c r="B80" s="19" t="n">
        <v>70000</v>
      </c>
      <c r="C80" s="41" t="s">
        <v>433</v>
      </c>
      <c r="D80" s="42"/>
    </row>
    <row r="81" s="39" customFormat="1" ht="22" customHeight="1" hidden="1">
      <c r="A81" s="19" t="s">
        <v>80</v>
      </c>
      <c r="B81" s="19" t="n">
        <v>70000</v>
      </c>
      <c r="C81" s="41" t="s">
        <v>434</v>
      </c>
      <c r="D81" s="42"/>
    </row>
    <row r="82" s="39" customFormat="1" ht="22" customHeight="1" hidden="1">
      <c r="A82" s="19" t="s">
        <v>81</v>
      </c>
      <c r="B82" s="19" t="n">
        <v>69500</v>
      </c>
      <c r="C82" s="41" t="s">
        <v>433</v>
      </c>
      <c r="D82" s="42"/>
    </row>
    <row r="83" s="39" customFormat="1" ht="22" customHeight="1" hidden="1">
      <c r="A83" s="19" t="s">
        <v>82</v>
      </c>
      <c r="B83" s="19" t="n">
        <v>69400</v>
      </c>
      <c r="C83" s="41" t="s">
        <v>433</v>
      </c>
      <c r="D83" s="42"/>
    </row>
    <row r="84" s="39" customFormat="1" ht="22" customHeight="1" hidden="1">
      <c r="A84" s="19" t="s">
        <v>83</v>
      </c>
      <c r="B84" s="19" t="n">
        <v>68400</v>
      </c>
      <c r="C84" s="41" t="s">
        <v>429</v>
      </c>
      <c r="D84" s="42"/>
    </row>
    <row r="85" s="39" customFormat="1" ht="22" customHeight="1" hidden="1">
      <c r="A85" s="19" t="s">
        <v>84</v>
      </c>
      <c r="B85" s="19" t="n">
        <v>67000</v>
      </c>
      <c r="C85" s="41" t="s">
        <v>432</v>
      </c>
      <c r="D85" s="42"/>
    </row>
    <row r="86" s="39" customFormat="1" ht="22" customHeight="1" hidden="1">
      <c r="A86" s="19" t="s">
        <v>85</v>
      </c>
      <c r="B86" s="19" t="n">
        <v>65900</v>
      </c>
      <c r="C86" s="41" t="s">
        <v>431</v>
      </c>
      <c r="D86" s="42"/>
    </row>
    <row r="87" s="39" customFormat="1" ht="22" customHeight="1" hidden="1">
      <c r="A87" s="19" t="s">
        <v>86</v>
      </c>
      <c r="B87" s="19" t="n">
        <v>64900</v>
      </c>
      <c r="C87" s="41" t="s">
        <v>432</v>
      </c>
      <c r="D87" s="42"/>
    </row>
    <row r="88" s="39" customFormat="1" ht="22" customHeight="1">
      <c r="A88" s="19" t="s">
        <v>87</v>
      </c>
      <c r="B88" s="19" t="n">
        <v>64500</v>
      </c>
      <c r="C88" s="41" t="s">
        <v>430</v>
      </c>
      <c r="D88" s="42"/>
    </row>
    <row r="89" s="39" customFormat="1" ht="22" customHeight="1" hidden="1">
      <c r="A89" s="19" t="s">
        <v>88</v>
      </c>
      <c r="B89" s="19" t="n">
        <v>64400</v>
      </c>
      <c r="C89" s="41" t="s">
        <v>431</v>
      </c>
      <c r="D89" s="42"/>
    </row>
    <row r="90" s="39" customFormat="1" ht="22" customHeight="1" hidden="1">
      <c r="A90" s="19" t="s">
        <v>89</v>
      </c>
      <c r="B90" s="19" t="n">
        <v>64300</v>
      </c>
      <c r="C90" s="41" t="s">
        <v>431</v>
      </c>
      <c r="D90" s="42"/>
    </row>
    <row r="91" s="39" customFormat="1" ht="22" customHeight="1" hidden="1">
      <c r="A91" s="19" t="s">
        <v>90</v>
      </c>
      <c r="B91" s="19" t="n">
        <v>63800</v>
      </c>
      <c r="C91" s="41" t="s">
        <v>433</v>
      </c>
      <c r="D91" s="42"/>
    </row>
    <row r="92" s="39" customFormat="1" ht="22" customHeight="1" hidden="1">
      <c r="A92" s="19" t="s">
        <v>91</v>
      </c>
      <c r="B92" s="19" t="n">
        <v>62700</v>
      </c>
      <c r="C92" s="41" t="s">
        <v>433</v>
      </c>
      <c r="D92" s="42"/>
    </row>
    <row r="93" s="39" customFormat="1" ht="22" customHeight="1" hidden="1">
      <c r="A93" s="19" t="s">
        <v>92</v>
      </c>
      <c r="B93" s="19" t="n">
        <v>62400</v>
      </c>
      <c r="C93" s="41" t="s">
        <v>433</v>
      </c>
      <c r="D93" s="42"/>
    </row>
    <row r="94" s="39" customFormat="1" ht="22" customHeight="1" hidden="1">
      <c r="A94" s="19" t="s">
        <v>93</v>
      </c>
      <c r="B94" s="19" t="n">
        <v>60000</v>
      </c>
      <c r="C94" s="41" t="s">
        <v>429</v>
      </c>
      <c r="D94" s="42"/>
    </row>
    <row r="95" s="39" customFormat="1" ht="22" customHeight="1">
      <c r="A95" s="19" t="s">
        <v>94</v>
      </c>
      <c r="B95" s="19" t="n">
        <v>58900</v>
      </c>
      <c r="C95" s="41" t="s">
        <v>430</v>
      </c>
      <c r="D95" s="42"/>
    </row>
    <row r="96" s="39" customFormat="1" ht="22" customHeight="1">
      <c r="A96" s="19" t="s">
        <v>95</v>
      </c>
      <c r="B96" s="19" t="n">
        <v>56600</v>
      </c>
      <c r="C96" s="41" t="s">
        <v>430</v>
      </c>
      <c r="D96" s="42"/>
    </row>
    <row r="97" s="39" customFormat="1" ht="22" customHeight="1" hidden="1">
      <c r="A97" s="19" t="n">
        <v>999</v>
      </c>
      <c r="B97" s="19" t="n">
        <v>55800</v>
      </c>
      <c r="C97" s="41" t="s">
        <v>433</v>
      </c>
      <c r="D97" s="42"/>
    </row>
    <row r="98" s="39" customFormat="1" ht="22" customHeight="1">
      <c r="A98" s="19" t="s">
        <v>96</v>
      </c>
      <c r="B98" s="19" t="n">
        <v>55500</v>
      </c>
      <c r="C98" s="41" t="s">
        <v>430</v>
      </c>
      <c r="D98" s="42"/>
    </row>
    <row r="99" s="39" customFormat="1" ht="22" customHeight="1" hidden="1">
      <c r="A99" s="19" t="s">
        <v>97</v>
      </c>
      <c r="B99" s="19" t="n">
        <v>53100</v>
      </c>
      <c r="C99" s="41" t="s">
        <v>433</v>
      </c>
      <c r="D99" s="42"/>
    </row>
    <row r="100" s="39" customFormat="1" ht="22" customHeight="1" hidden="1">
      <c r="A100" s="19" t="s">
        <v>98</v>
      </c>
      <c r="B100" s="19" t="n">
        <v>53100</v>
      </c>
      <c r="C100" s="41" t="s">
        <v>435</v>
      </c>
      <c r="D100" s="42"/>
    </row>
    <row r="101" s="39" customFormat="1" ht="22" customHeight="1">
      <c r="A101" s="19" t="s">
        <v>99</v>
      </c>
      <c r="B101" s="19" t="n">
        <v>52400</v>
      </c>
      <c r="C101" s="41" t="s">
        <v>430</v>
      </c>
      <c r="D101" s="42"/>
    </row>
    <row r="102" s="39" customFormat="1" ht="22" customHeight="1" hidden="1">
      <c r="A102" s="19" t="s">
        <v>100</v>
      </c>
      <c r="B102" s="19" t="n">
        <v>51800</v>
      </c>
      <c r="C102" s="41" t="s">
        <v>431</v>
      </c>
      <c r="D102" s="42"/>
    </row>
    <row r="103" s="39" customFormat="1" ht="22" customHeight="1">
      <c r="A103" s="19" t="s">
        <v>101</v>
      </c>
      <c r="B103" s="19" t="n">
        <v>51400</v>
      </c>
      <c r="C103" s="41" t="s">
        <v>430</v>
      </c>
      <c r="D103" s="42"/>
    </row>
    <row r="104" s="39" customFormat="1" ht="22" customHeight="1" hidden="1">
      <c r="A104" s="19" t="s">
        <v>102</v>
      </c>
      <c r="B104" s="19" t="n">
        <v>51300</v>
      </c>
      <c r="C104" s="41" t="s">
        <v>433</v>
      </c>
      <c r="D104" s="42"/>
    </row>
    <row r="105" s="39" customFormat="1" ht="22" customHeight="1" hidden="1">
      <c r="A105" s="19" t="s">
        <v>103</v>
      </c>
      <c r="B105" s="19" t="n">
        <v>50000</v>
      </c>
      <c r="C105" s="41" t="s">
        <v>429</v>
      </c>
      <c r="D105" s="42"/>
    </row>
    <row r="106" s="39" customFormat="1" ht="22" customHeight="1" hidden="1">
      <c r="A106" s="19" t="s">
        <v>104</v>
      </c>
      <c r="B106" s="19" t="n">
        <v>48500</v>
      </c>
      <c r="C106" s="41" t="s">
        <v>433</v>
      </c>
      <c r="D106" s="42"/>
    </row>
    <row r="107" s="39" customFormat="1" ht="22" customHeight="1" hidden="1">
      <c r="A107" s="19" t="s">
        <v>105</v>
      </c>
      <c r="B107" s="19" t="n">
        <v>48500</v>
      </c>
      <c r="C107" s="41" t="s">
        <v>433</v>
      </c>
      <c r="D107" s="42"/>
    </row>
    <row r="108" s="39" customFormat="1" ht="22" customHeight="1" hidden="1">
      <c r="A108" s="19" t="s">
        <v>106</v>
      </c>
      <c r="B108" s="19" t="n">
        <v>47800</v>
      </c>
      <c r="C108" s="41" t="s">
        <v>434</v>
      </c>
      <c r="D108" s="42"/>
    </row>
    <row r="109" s="39" customFormat="1" ht="22" customHeight="1" hidden="1">
      <c r="A109" s="19" t="s">
        <v>107</v>
      </c>
      <c r="B109" s="19" t="n">
        <v>47500</v>
      </c>
      <c r="C109" s="41" t="s">
        <v>433</v>
      </c>
      <c r="D109" s="42"/>
    </row>
    <row r="110" s="39" customFormat="1" ht="22" customHeight="1" hidden="1">
      <c r="A110" s="19" t="s">
        <v>108</v>
      </c>
      <c r="B110" s="19" t="n">
        <v>47400</v>
      </c>
      <c r="C110" s="41" t="s">
        <v>429</v>
      </c>
      <c r="D110" s="42"/>
    </row>
    <row r="111" s="39" customFormat="1" ht="22" customHeight="1" hidden="1">
      <c r="A111" s="19" t="s">
        <v>109</v>
      </c>
      <c r="B111" s="19" t="n">
        <v>46500</v>
      </c>
      <c r="C111" s="41" t="s">
        <v>435</v>
      </c>
      <c r="D111" s="42"/>
    </row>
    <row r="112" s="39" customFormat="1" ht="22" customHeight="1" hidden="1">
      <c r="A112" s="19" t="s">
        <v>110</v>
      </c>
      <c r="B112" s="19" t="n">
        <v>45700</v>
      </c>
      <c r="C112" s="41" t="s">
        <v>435</v>
      </c>
      <c r="D112" s="42"/>
    </row>
    <row r="113" s="39" customFormat="1" ht="22" customHeight="1">
      <c r="A113" s="19" t="s">
        <v>111</v>
      </c>
      <c r="B113" s="19" t="n">
        <v>44700</v>
      </c>
      <c r="C113" s="41" t="s">
        <v>430</v>
      </c>
      <c r="D113" s="42"/>
    </row>
    <row r="114" s="39" customFormat="1" ht="22" customHeight="1">
      <c r="A114" s="19" t="s">
        <v>112</v>
      </c>
      <c r="B114" s="19" t="n">
        <v>44600</v>
      </c>
      <c r="C114" s="41" t="s">
        <v>430</v>
      </c>
      <c r="D114" s="42"/>
    </row>
    <row r="115" s="39" customFormat="1" ht="22" customHeight="1">
      <c r="A115" s="19" t="s">
        <v>113</v>
      </c>
      <c r="B115" s="19" t="n">
        <v>41400</v>
      </c>
      <c r="C115" s="41" t="s">
        <v>430</v>
      </c>
      <c r="D115" s="42"/>
    </row>
    <row r="116" s="39" customFormat="1" ht="22" customHeight="1" hidden="1">
      <c r="A116" s="19" t="s">
        <v>114</v>
      </c>
      <c r="B116" s="19" t="n">
        <v>40800</v>
      </c>
      <c r="C116" s="41" t="s">
        <v>433</v>
      </c>
      <c r="D116" s="42"/>
    </row>
    <row r="117" s="39" customFormat="1" ht="22" customHeight="1" hidden="1">
      <c r="A117" s="19" t="s">
        <v>115</v>
      </c>
      <c r="B117" s="19" t="n">
        <v>39200</v>
      </c>
      <c r="C117" s="41" t="s">
        <v>433</v>
      </c>
      <c r="D117" s="42"/>
    </row>
    <row r="118" s="39" customFormat="1" ht="22" customHeight="1">
      <c r="A118" s="19" t="s">
        <v>116</v>
      </c>
      <c r="B118" s="19" t="n">
        <v>38300</v>
      </c>
      <c r="C118" s="41" t="s">
        <v>430</v>
      </c>
      <c r="D118" s="42"/>
    </row>
    <row r="119" s="39" customFormat="1" ht="22" customHeight="1" hidden="1">
      <c r="A119" s="19" t="s">
        <v>117</v>
      </c>
      <c r="B119" s="19" t="n">
        <v>35200</v>
      </c>
      <c r="C119" s="41" t="s">
        <v>431</v>
      </c>
      <c r="D119" s="42"/>
    </row>
    <row r="120" s="39" customFormat="1" ht="22" customHeight="1" hidden="1">
      <c r="A120" s="19" t="s">
        <v>118</v>
      </c>
      <c r="B120" s="19" t="n">
        <v>35200</v>
      </c>
      <c r="C120" s="41" t="s">
        <v>429</v>
      </c>
      <c r="D120" s="42"/>
    </row>
    <row r="121" s="39" customFormat="1" ht="22" customHeight="1" hidden="1">
      <c r="A121" s="19" t="s">
        <v>119</v>
      </c>
      <c r="B121" s="19" t="n">
        <v>34300</v>
      </c>
      <c r="C121" s="41" t="s">
        <v>431</v>
      </c>
      <c r="D121" s="42"/>
    </row>
    <row r="122" s="39" customFormat="1" ht="22" customHeight="1" hidden="1">
      <c r="A122" s="19" t="s">
        <v>120</v>
      </c>
      <c r="B122" s="19" t="n">
        <v>34100</v>
      </c>
      <c r="C122" s="41" t="s">
        <v>431</v>
      </c>
      <c r="D122" s="42"/>
    </row>
    <row r="123" s="39" customFormat="1" ht="22" customHeight="1" hidden="1">
      <c r="A123" s="19" t="s">
        <v>121</v>
      </c>
      <c r="B123" s="19" t="n">
        <v>33700</v>
      </c>
      <c r="C123" s="41" t="s">
        <v>431</v>
      </c>
      <c r="D123" s="42"/>
    </row>
    <row r="124" s="39" customFormat="1" ht="22" customHeight="1" hidden="1">
      <c r="A124" s="19" t="s">
        <v>122</v>
      </c>
      <c r="B124" s="19" t="n">
        <v>33200</v>
      </c>
      <c r="C124" s="41" t="s">
        <v>435</v>
      </c>
      <c r="D124" s="42"/>
    </row>
    <row r="125" s="39" customFormat="1" ht="22" customHeight="1" hidden="1">
      <c r="A125" s="19" t="s">
        <v>123</v>
      </c>
      <c r="B125" s="19" t="n">
        <v>32700</v>
      </c>
      <c r="C125" s="41" t="s">
        <v>431</v>
      </c>
      <c r="D125" s="42"/>
    </row>
    <row r="126" s="39" customFormat="1" ht="22" customHeight="1" hidden="1">
      <c r="A126" s="19" t="s">
        <v>124</v>
      </c>
      <c r="B126" s="19" t="n">
        <v>31600</v>
      </c>
      <c r="C126" s="41" t="s">
        <v>431</v>
      </c>
      <c r="D126" s="42"/>
    </row>
    <row r="127" s="39" customFormat="1" ht="22" customHeight="1" hidden="1">
      <c r="A127" s="19" t="s">
        <v>125</v>
      </c>
      <c r="B127" s="19" t="n">
        <v>30100</v>
      </c>
      <c r="C127" s="41" t="s">
        <v>433</v>
      </c>
      <c r="D127" s="42"/>
    </row>
    <row r="128" s="39" customFormat="1" ht="22" customHeight="1" hidden="1">
      <c r="A128" s="19" t="s">
        <v>126</v>
      </c>
      <c r="B128" s="19" t="n">
        <v>29000</v>
      </c>
      <c r="C128" s="41" t="s">
        <v>433</v>
      </c>
      <c r="D128" s="42"/>
    </row>
    <row r="129" s="39" customFormat="1" ht="22" customHeight="1" hidden="1">
      <c r="A129" s="19" t="s">
        <v>127</v>
      </c>
      <c r="B129" s="19" t="n">
        <v>28900</v>
      </c>
      <c r="C129" s="41" t="s">
        <v>432</v>
      </c>
      <c r="D129" s="42"/>
    </row>
    <row r="130" s="39" customFormat="1" ht="22" customHeight="1" hidden="1">
      <c r="A130" s="19" t="s">
        <v>128</v>
      </c>
      <c r="B130" s="19" t="n">
        <v>28300</v>
      </c>
      <c r="C130" s="41" t="s">
        <v>434</v>
      </c>
      <c r="D130" s="42"/>
    </row>
    <row r="131" s="39" customFormat="1" ht="22" customHeight="1" hidden="1">
      <c r="A131" s="19" t="s">
        <v>129</v>
      </c>
      <c r="B131" s="19" t="n">
        <v>28300</v>
      </c>
      <c r="C131" s="41" t="s">
        <v>429</v>
      </c>
      <c r="D131" s="42"/>
    </row>
    <row r="132" s="39" customFormat="1" ht="22" customHeight="1" hidden="1">
      <c r="A132" s="19" t="s">
        <v>130</v>
      </c>
      <c r="B132" s="19" t="n">
        <v>27900</v>
      </c>
      <c r="C132" s="41" t="s">
        <v>431</v>
      </c>
      <c r="D132" s="42"/>
    </row>
    <row r="133" s="39" customFormat="1" ht="22" customHeight="1" hidden="1">
      <c r="A133" s="19" t="s">
        <v>131</v>
      </c>
      <c r="B133" s="19" t="n">
        <v>27900</v>
      </c>
      <c r="C133" s="41" t="s">
        <v>435</v>
      </c>
      <c r="D133" s="42"/>
    </row>
    <row r="134" s="39" customFormat="1" ht="22" customHeight="1" hidden="1">
      <c r="A134" s="19" t="s">
        <v>132</v>
      </c>
      <c r="B134" s="19" t="n">
        <v>26900</v>
      </c>
      <c r="C134" s="41" t="s">
        <v>434</v>
      </c>
      <c r="D134" s="42"/>
    </row>
    <row r="135" s="39" customFormat="1" ht="22" customHeight="1" hidden="1">
      <c r="A135" s="19" t="s">
        <v>133</v>
      </c>
      <c r="B135" s="19" t="n">
        <v>26900</v>
      </c>
      <c r="C135" s="41" t="s">
        <v>431</v>
      </c>
      <c r="D135" s="42"/>
    </row>
    <row r="136" s="39" customFormat="1" ht="22" customHeight="1">
      <c r="A136" s="19" t="s">
        <v>134</v>
      </c>
      <c r="B136" s="19" t="n">
        <v>25500</v>
      </c>
      <c r="C136" s="41" t="s">
        <v>430</v>
      </c>
      <c r="D136" s="42"/>
    </row>
    <row r="137" s="39" customFormat="1" ht="22" customHeight="1" hidden="1">
      <c r="A137" s="19" t="s">
        <v>135</v>
      </c>
      <c r="B137" s="19" t="n">
        <v>25200</v>
      </c>
      <c r="C137" s="41" t="s">
        <v>429</v>
      </c>
      <c r="D137" s="42"/>
    </row>
    <row r="138" s="39" customFormat="1" ht="22" customHeight="1">
      <c r="A138" s="19" t="s">
        <v>136</v>
      </c>
      <c r="B138" s="19" t="n">
        <v>25000</v>
      </c>
      <c r="C138" s="41" t="s">
        <v>430</v>
      </c>
      <c r="D138" s="42"/>
    </row>
    <row r="139" s="39" customFormat="1" ht="22" customHeight="1" hidden="1">
      <c r="A139" s="19" t="s">
        <v>137</v>
      </c>
      <c r="B139" s="19" t="n">
        <v>25000</v>
      </c>
      <c r="C139" s="41" t="s">
        <v>433</v>
      </c>
      <c r="D139" s="42"/>
    </row>
    <row r="140" s="39" customFormat="1" ht="22" customHeight="1" hidden="1">
      <c r="A140" s="19" t="s">
        <v>138</v>
      </c>
      <c r="B140" s="19" t="n">
        <v>24900</v>
      </c>
      <c r="C140" s="41" t="s">
        <v>431</v>
      </c>
      <c r="D140" s="42"/>
    </row>
    <row r="141" s="39" customFormat="1" ht="22" customHeight="1" hidden="1">
      <c r="A141" s="19" t="s">
        <v>139</v>
      </c>
      <c r="B141" s="19" t="n">
        <v>24700</v>
      </c>
      <c r="C141" s="41" t="s">
        <v>431</v>
      </c>
      <c r="D141" s="42"/>
    </row>
    <row r="142" s="39" customFormat="1" ht="22" customHeight="1">
      <c r="A142" s="19" t="s">
        <v>140</v>
      </c>
      <c r="B142" s="19" t="n">
        <v>23400</v>
      </c>
      <c r="C142" s="41" t="s">
        <v>430</v>
      </c>
      <c r="D142" s="42"/>
    </row>
    <row r="143" s="39" customFormat="1" ht="22" customHeight="1" hidden="1">
      <c r="A143" s="19" t="s">
        <v>141</v>
      </c>
      <c r="B143" s="19" t="n">
        <v>22900</v>
      </c>
      <c r="C143" s="41" t="s">
        <v>431</v>
      </c>
      <c r="D143" s="42"/>
    </row>
    <row r="144" s="39" customFormat="1" ht="22" customHeight="1">
      <c r="A144" s="19" t="s">
        <v>142</v>
      </c>
      <c r="B144" s="19" t="n">
        <v>22100</v>
      </c>
      <c r="C144" s="41" t="s">
        <v>430</v>
      </c>
      <c r="D144" s="42"/>
    </row>
    <row r="145" s="39" customFormat="1" ht="22" customHeight="1" hidden="1">
      <c r="A145" s="19" t="s">
        <v>143</v>
      </c>
      <c r="B145" s="19" t="n">
        <v>22000</v>
      </c>
      <c r="C145" s="41" t="s">
        <v>431</v>
      </c>
      <c r="D145" s="42"/>
    </row>
    <row r="146" s="39" customFormat="1" ht="22" customHeight="1" hidden="1">
      <c r="A146" s="19" t="s">
        <v>144</v>
      </c>
      <c r="B146" s="19" t="n">
        <v>22000</v>
      </c>
      <c r="C146" s="41" t="s">
        <v>429</v>
      </c>
      <c r="D146" s="42"/>
    </row>
    <row r="147" s="39" customFormat="1" ht="22" customHeight="1">
      <c r="A147" s="19" t="s">
        <v>145</v>
      </c>
      <c r="B147" s="19" t="n">
        <v>21900</v>
      </c>
      <c r="C147" s="41" t="s">
        <v>430</v>
      </c>
      <c r="D147" s="42"/>
    </row>
    <row r="148" s="39" customFormat="1" ht="22" customHeight="1" hidden="1">
      <c r="A148" s="19" t="s">
        <v>146</v>
      </c>
      <c r="B148" s="19" t="n">
        <v>21800</v>
      </c>
      <c r="C148" s="41" t="s">
        <v>431</v>
      </c>
      <c r="D148" s="42"/>
    </row>
    <row r="149" s="39" customFormat="1" ht="22" customHeight="1">
      <c r="A149" s="19" t="s">
        <v>147</v>
      </c>
      <c r="B149" s="19" t="n">
        <v>21800</v>
      </c>
      <c r="C149" s="41" t="s">
        <v>430</v>
      </c>
      <c r="D149" s="42"/>
    </row>
    <row r="150" s="39" customFormat="1" ht="22" customHeight="1" hidden="1">
      <c r="A150" s="19" t="s">
        <v>148</v>
      </c>
      <c r="B150" s="19" t="n">
        <v>21400</v>
      </c>
      <c r="C150" s="41" t="s">
        <v>433</v>
      </c>
      <c r="D150" s="42"/>
    </row>
    <row r="151" s="39" customFormat="1" ht="22" customHeight="1" hidden="1">
      <c r="A151" s="19" t="s">
        <v>149</v>
      </c>
      <c r="B151" s="19" t="n">
        <v>21300</v>
      </c>
      <c r="C151" s="41" t="s">
        <v>431</v>
      </c>
      <c r="D151" s="42"/>
    </row>
    <row r="152" s="39" customFormat="1" ht="22" customHeight="1" hidden="1">
      <c r="A152" s="19" t="s">
        <v>150</v>
      </c>
      <c r="B152" s="19" t="n">
        <v>21100</v>
      </c>
      <c r="C152" s="41" t="s">
        <v>433</v>
      </c>
      <c r="D152" s="42"/>
    </row>
    <row r="153" s="39" customFormat="1" ht="22" customHeight="1" hidden="1">
      <c r="A153" s="19" t="s">
        <v>151</v>
      </c>
      <c r="B153" s="19" t="n">
        <v>20600</v>
      </c>
      <c r="C153" s="41" t="s">
        <v>432</v>
      </c>
      <c r="D153" s="42"/>
    </row>
    <row r="154" s="39" customFormat="1" ht="22" customHeight="1" hidden="1">
      <c r="A154" s="19" t="s">
        <v>152</v>
      </c>
      <c r="B154" s="19" t="n">
        <v>20400</v>
      </c>
      <c r="C154" s="41" t="s">
        <v>434</v>
      </c>
      <c r="D154" s="42"/>
    </row>
    <row r="155" s="39" customFormat="1" ht="22" customHeight="1" hidden="1">
      <c r="A155" s="19" t="n">
        <v>18</v>
      </c>
      <c r="B155" s="19" t="n">
        <v>20200</v>
      </c>
      <c r="C155" s="41" t="s">
        <v>433</v>
      </c>
      <c r="D155" s="42"/>
    </row>
    <row r="156" s="39" customFormat="1" ht="22" customHeight="1" hidden="1">
      <c r="A156" s="19" t="s">
        <v>153</v>
      </c>
      <c r="B156" s="19" t="n">
        <v>20200</v>
      </c>
      <c r="C156" s="41" t="s">
        <v>433</v>
      </c>
      <c r="D156" s="42"/>
    </row>
    <row r="157" s="39" customFormat="1" ht="22" customHeight="1" hidden="1">
      <c r="A157" s="19" t="s">
        <v>154</v>
      </c>
      <c r="B157" s="19" t="n">
        <v>20100</v>
      </c>
      <c r="C157" s="41" t="s">
        <v>433</v>
      </c>
      <c r="D157" s="42"/>
    </row>
    <row r="158" s="39" customFormat="1" ht="22" customHeight="1" hidden="1">
      <c r="A158" s="19" t="s">
        <v>155</v>
      </c>
      <c r="B158" s="19" t="n">
        <v>20100</v>
      </c>
      <c r="C158" s="41" t="s">
        <v>431</v>
      </c>
      <c r="D158" s="42"/>
    </row>
    <row r="159" s="39" customFormat="1" ht="22" customHeight="1">
      <c r="A159" s="19" t="s">
        <v>156</v>
      </c>
      <c r="B159" s="19" t="n">
        <v>19200</v>
      </c>
      <c r="C159" s="41" t="s">
        <v>430</v>
      </c>
      <c r="D159" s="42"/>
    </row>
    <row r="160" s="39" customFormat="1" ht="22" customHeight="1">
      <c r="A160" s="19" t="s">
        <v>157</v>
      </c>
      <c r="B160" s="19" t="n">
        <v>18900</v>
      </c>
      <c r="C160" s="41" t="s">
        <v>430</v>
      </c>
      <c r="D160" s="42"/>
    </row>
    <row r="161" s="39" customFormat="1" ht="22" customHeight="1" hidden="1">
      <c r="A161" s="19" t="s">
        <v>158</v>
      </c>
      <c r="B161" s="19" t="n">
        <v>18700</v>
      </c>
      <c r="C161" s="41" t="s">
        <v>433</v>
      </c>
      <c r="D161" s="42"/>
    </row>
    <row r="162" s="39" customFormat="1" ht="22" customHeight="1">
      <c r="A162" s="19" t="s">
        <v>159</v>
      </c>
      <c r="B162" s="19" t="n">
        <v>18300</v>
      </c>
      <c r="C162" s="41" t="s">
        <v>430</v>
      </c>
      <c r="D162" s="42"/>
    </row>
    <row r="163" s="39" customFormat="1" ht="22" customHeight="1">
      <c r="A163" s="19" t="s">
        <v>160</v>
      </c>
      <c r="B163" s="19" t="n">
        <v>18300</v>
      </c>
      <c r="C163" s="41" t="s">
        <v>430</v>
      </c>
      <c r="D163" s="42"/>
    </row>
    <row r="164" s="39" customFormat="1" ht="22" customHeight="1" hidden="1">
      <c r="A164" s="19" t="s">
        <v>161</v>
      </c>
      <c r="B164" s="19" t="n">
        <v>17900</v>
      </c>
      <c r="C164" s="41" t="s">
        <v>434</v>
      </c>
      <c r="D164" s="42"/>
    </row>
    <row r="165" s="39" customFormat="1" ht="22" customHeight="1" hidden="1">
      <c r="A165" s="19" t="s">
        <v>162</v>
      </c>
      <c r="B165" s="19" t="n">
        <v>17900</v>
      </c>
      <c r="C165" s="41" t="s">
        <v>431</v>
      </c>
      <c r="D165" s="42"/>
    </row>
    <row r="166" s="39" customFormat="1" ht="22" customHeight="1">
      <c r="A166" s="19" t="s">
        <v>163</v>
      </c>
      <c r="B166" s="19" t="n">
        <v>17700</v>
      </c>
      <c r="C166" s="41" t="s">
        <v>430</v>
      </c>
      <c r="D166" s="42"/>
    </row>
    <row r="167" s="39" customFormat="1" ht="22" customHeight="1" hidden="1">
      <c r="A167" s="19" t="s">
        <v>164</v>
      </c>
      <c r="B167" s="19" t="n">
        <v>17300</v>
      </c>
      <c r="C167" s="41" t="s">
        <v>435</v>
      </c>
      <c r="D167" s="42"/>
    </row>
    <row r="168" s="39" customFormat="1" ht="22" customHeight="1">
      <c r="A168" s="19" t="s">
        <v>165</v>
      </c>
      <c r="B168" s="19" t="n">
        <v>17100</v>
      </c>
      <c r="C168" s="41" t="s">
        <v>430</v>
      </c>
      <c r="D168" s="42"/>
    </row>
    <row r="169" s="39" customFormat="1" ht="22" customHeight="1">
      <c r="A169" s="19" t="s">
        <v>166</v>
      </c>
      <c r="B169" s="19" t="n">
        <v>17100</v>
      </c>
      <c r="C169" s="41" t="s">
        <v>430</v>
      </c>
      <c r="D169" s="42"/>
    </row>
    <row r="170" s="39" customFormat="1" ht="22" customHeight="1" hidden="1">
      <c r="A170" s="19" t="s">
        <v>167</v>
      </c>
      <c r="B170" s="19" t="n">
        <v>17000</v>
      </c>
      <c r="C170" s="41" t="s">
        <v>433</v>
      </c>
      <c r="D170" s="42"/>
    </row>
    <row r="171" s="39" customFormat="1" ht="22" customHeight="1" hidden="1">
      <c r="A171" s="19" t="s">
        <v>168</v>
      </c>
      <c r="B171" s="19" t="n">
        <v>16600</v>
      </c>
      <c r="C171" s="41" t="s">
        <v>433</v>
      </c>
      <c r="D171" s="42"/>
    </row>
    <row r="172" s="39" customFormat="1" ht="22" customHeight="1" hidden="1">
      <c r="A172" s="19" t="s">
        <v>169</v>
      </c>
      <c r="B172" s="19" t="n">
        <v>16600</v>
      </c>
      <c r="C172" s="41" t="s">
        <v>435</v>
      </c>
      <c r="D172" s="42"/>
    </row>
    <row r="173" s="39" customFormat="1" ht="22" customHeight="1" hidden="1">
      <c r="A173" s="19" t="s">
        <v>170</v>
      </c>
      <c r="B173" s="19" t="n">
        <v>16600</v>
      </c>
      <c r="C173" s="41" t="s">
        <v>431</v>
      </c>
      <c r="D173" s="42"/>
    </row>
    <row r="174" s="39" customFormat="1" ht="22" customHeight="1" hidden="1">
      <c r="A174" s="19" t="s">
        <v>171</v>
      </c>
      <c r="B174" s="19" t="n">
        <v>16600</v>
      </c>
      <c r="C174" s="41" t="s">
        <v>435</v>
      </c>
      <c r="D174" s="42"/>
    </row>
    <row r="175" s="39" customFormat="1" ht="22" customHeight="1" hidden="1">
      <c r="A175" s="19" t="s">
        <v>172</v>
      </c>
      <c r="B175" s="19" t="n">
        <v>16400</v>
      </c>
      <c r="C175" s="41" t="s">
        <v>433</v>
      </c>
      <c r="D175" s="42"/>
    </row>
    <row r="176" s="39" customFormat="1" ht="22" customHeight="1" hidden="1">
      <c r="A176" s="19" t="s">
        <v>173</v>
      </c>
      <c r="B176" s="19" t="n">
        <v>16000</v>
      </c>
      <c r="C176" s="41" t="s">
        <v>432</v>
      </c>
      <c r="D176" s="42"/>
    </row>
    <row r="177" s="39" customFormat="1" ht="22" customHeight="1" hidden="1">
      <c r="A177" s="19" t="s">
        <v>174</v>
      </c>
      <c r="B177" s="19" t="n">
        <v>15500</v>
      </c>
      <c r="C177" s="41" t="s">
        <v>429</v>
      </c>
      <c r="D177" s="42"/>
    </row>
    <row r="178" s="39" customFormat="1" ht="22" customHeight="1">
      <c r="A178" s="19" t="s">
        <v>175</v>
      </c>
      <c r="B178" s="19" t="n">
        <v>15500</v>
      </c>
      <c r="C178" s="41" t="s">
        <v>430</v>
      </c>
      <c r="D178" s="42"/>
    </row>
    <row r="179" s="39" customFormat="1" ht="22" customHeight="1" hidden="1">
      <c r="A179" s="19" t="s">
        <v>176</v>
      </c>
      <c r="B179" s="19" t="n">
        <v>15400</v>
      </c>
      <c r="C179" s="41" t="s">
        <v>433</v>
      </c>
      <c r="D179" s="42"/>
    </row>
    <row r="180" s="39" customFormat="1" ht="22" customHeight="1" hidden="1">
      <c r="A180" s="19" t="s">
        <v>177</v>
      </c>
      <c r="B180" s="19" t="n">
        <v>15300</v>
      </c>
      <c r="C180" s="41" t="s">
        <v>433</v>
      </c>
      <c r="D180" s="42"/>
    </row>
    <row r="181" s="39" customFormat="1" ht="22" customHeight="1" hidden="1">
      <c r="A181" s="19" t="s">
        <v>178</v>
      </c>
      <c r="B181" s="19" t="n">
        <v>15300</v>
      </c>
      <c r="C181" s="41" t="s">
        <v>433</v>
      </c>
      <c r="D181" s="42"/>
    </row>
    <row r="182" s="39" customFormat="1" ht="22" customHeight="1" hidden="1">
      <c r="A182" s="19" t="s">
        <v>179</v>
      </c>
      <c r="B182" s="19" t="n">
        <v>14900</v>
      </c>
      <c r="C182" s="41" t="s">
        <v>433</v>
      </c>
      <c r="D182" s="42"/>
    </row>
    <row r="183" s="39" customFormat="1" ht="22" customHeight="1">
      <c r="A183" s="19" t="s">
        <v>180</v>
      </c>
      <c r="B183" s="19" t="n">
        <v>14800</v>
      </c>
      <c r="C183" s="41" t="s">
        <v>430</v>
      </c>
      <c r="D183" s="42"/>
    </row>
    <row r="184" s="39" customFormat="1" ht="22" customHeight="1">
      <c r="A184" s="19" t="s">
        <v>181</v>
      </c>
      <c r="B184" s="19" t="n">
        <v>14600</v>
      </c>
      <c r="C184" s="41" t="s">
        <v>430</v>
      </c>
      <c r="D184" s="42"/>
    </row>
    <row r="185" s="39" customFormat="1" ht="22" customHeight="1" hidden="1">
      <c r="A185" s="19" t="s">
        <v>182</v>
      </c>
      <c r="B185" s="19" t="n">
        <v>14500</v>
      </c>
      <c r="C185" s="41" t="s">
        <v>431</v>
      </c>
      <c r="D185" s="42"/>
    </row>
    <row r="186" s="39" customFormat="1" ht="22" customHeight="1" hidden="1">
      <c r="A186" s="19" t="s">
        <v>183</v>
      </c>
      <c r="B186" s="19" t="n">
        <v>14400</v>
      </c>
      <c r="C186" s="41" t="s">
        <v>433</v>
      </c>
      <c r="D186" s="42"/>
    </row>
    <row r="187" s="39" customFormat="1" ht="22" customHeight="1" hidden="1">
      <c r="A187" s="19" t="s">
        <v>184</v>
      </c>
      <c r="B187" s="19" t="n">
        <v>14300</v>
      </c>
      <c r="C187" s="41" t="s">
        <v>432</v>
      </c>
      <c r="D187" s="42"/>
    </row>
    <row r="188" s="39" customFormat="1" ht="22" customHeight="1" hidden="1">
      <c r="A188" s="19" t="s">
        <v>185</v>
      </c>
      <c r="B188" s="19" t="n">
        <v>14200</v>
      </c>
      <c r="C188" s="41" t="s">
        <v>435</v>
      </c>
      <c r="D188" s="42"/>
    </row>
    <row r="189" s="39" customFormat="1" ht="22" customHeight="1" hidden="1">
      <c r="A189" s="19" t="s">
        <v>186</v>
      </c>
      <c r="B189" s="19" t="n">
        <v>13700</v>
      </c>
      <c r="C189" s="41" t="s">
        <v>432</v>
      </c>
      <c r="D189" s="42"/>
    </row>
    <row r="190" s="39" customFormat="1" ht="22" customHeight="1" hidden="1">
      <c r="A190" s="19" t="s">
        <v>187</v>
      </c>
      <c r="B190" s="19" t="n">
        <v>13700</v>
      </c>
      <c r="C190" s="41" t="s">
        <v>433</v>
      </c>
      <c r="D190" s="42"/>
    </row>
    <row r="191" s="39" customFormat="1" ht="22" customHeight="1" hidden="1">
      <c r="A191" s="19" t="s">
        <v>188</v>
      </c>
      <c r="B191" s="19" t="n">
        <v>13300</v>
      </c>
      <c r="C191" s="41" t="s">
        <v>435</v>
      </c>
      <c r="D191" s="42"/>
    </row>
    <row r="192" s="39" customFormat="1" ht="22" customHeight="1">
      <c r="A192" s="19" t="s">
        <v>189</v>
      </c>
      <c r="B192" s="19" t="n">
        <v>13200</v>
      </c>
      <c r="C192" s="41" t="s">
        <v>430</v>
      </c>
      <c r="D192" s="42"/>
    </row>
    <row r="193" s="39" customFormat="1" ht="22" customHeight="1" hidden="1">
      <c r="A193" s="19" t="s">
        <v>190</v>
      </c>
      <c r="B193" s="19" t="n">
        <v>13200</v>
      </c>
      <c r="C193" s="41" t="s">
        <v>431</v>
      </c>
      <c r="D193" s="42"/>
    </row>
    <row r="194" s="39" customFormat="1" ht="22" customHeight="1" hidden="1">
      <c r="A194" s="19" t="s">
        <v>191</v>
      </c>
      <c r="B194" s="19" t="n">
        <v>12500</v>
      </c>
      <c r="C194" s="41" t="s">
        <v>431</v>
      </c>
      <c r="D194" s="42"/>
    </row>
    <row r="195" s="39" customFormat="1" ht="22" customHeight="1" hidden="1">
      <c r="A195" s="19" t="s">
        <v>192</v>
      </c>
      <c r="B195" s="19" t="n">
        <v>12000</v>
      </c>
      <c r="C195" s="41" t="s">
        <v>433</v>
      </c>
      <c r="D195" s="42"/>
    </row>
    <row r="196" s="39" customFormat="1" ht="22" customHeight="1" hidden="1">
      <c r="A196" s="19" t="s">
        <v>193</v>
      </c>
      <c r="B196" s="19" t="n">
        <v>12000</v>
      </c>
      <c r="C196" s="41" t="s">
        <v>436</v>
      </c>
      <c r="D196" s="42"/>
    </row>
    <row r="197" s="39" customFormat="1" ht="22" customHeight="1">
      <c r="A197" s="19" t="s">
        <v>194</v>
      </c>
      <c r="B197" s="19" t="n">
        <v>11900</v>
      </c>
      <c r="C197" s="41" t="s">
        <v>430</v>
      </c>
      <c r="D197" s="42"/>
    </row>
    <row r="198" s="39" customFormat="1" ht="22" customHeight="1" hidden="1">
      <c r="A198" s="19" t="s">
        <v>195</v>
      </c>
      <c r="B198" s="19" t="n">
        <v>11800</v>
      </c>
      <c r="C198" s="41" t="s">
        <v>433</v>
      </c>
      <c r="D198" s="42"/>
    </row>
    <row r="199" s="39" customFormat="1" ht="22" customHeight="1">
      <c r="A199" s="19" t="s">
        <v>196</v>
      </c>
      <c r="B199" s="19" t="n">
        <v>11800</v>
      </c>
      <c r="C199" s="41" t="s">
        <v>430</v>
      </c>
      <c r="D199" s="42"/>
    </row>
    <row r="200" s="39" customFormat="1" ht="22" customHeight="1" hidden="1">
      <c r="A200" s="19" t="s">
        <v>197</v>
      </c>
      <c r="B200" s="19" t="n">
        <v>11600</v>
      </c>
      <c r="C200" s="41" t="s">
        <v>431</v>
      </c>
      <c r="D200" s="42"/>
    </row>
    <row r="201" s="39" customFormat="1" ht="22" customHeight="1" hidden="1">
      <c r="A201" s="19" t="s">
        <v>198</v>
      </c>
      <c r="B201" s="19" t="n">
        <v>11600</v>
      </c>
      <c r="C201" s="41" t="s">
        <v>432</v>
      </c>
      <c r="D201" s="42"/>
    </row>
    <row r="202" s="39" customFormat="1" ht="22" customHeight="1" hidden="1">
      <c r="A202" s="19" t="s">
        <v>199</v>
      </c>
      <c r="B202" s="19" t="n">
        <v>11500</v>
      </c>
      <c r="C202" s="41" t="s">
        <v>429</v>
      </c>
      <c r="D202" s="42"/>
    </row>
    <row r="203" s="39" customFormat="1" ht="22" customHeight="1" hidden="1">
      <c r="A203" s="19" t="s">
        <v>200</v>
      </c>
      <c r="B203" s="19" t="n">
        <v>11100</v>
      </c>
      <c r="C203" s="41" t="s">
        <v>434</v>
      </c>
      <c r="D203" s="42"/>
    </row>
    <row r="204" s="39" customFormat="1" ht="22" customHeight="1" hidden="1">
      <c r="A204" s="19" t="s">
        <v>201</v>
      </c>
      <c r="B204" s="19" t="n">
        <v>11100</v>
      </c>
      <c r="C204" s="41" t="s">
        <v>434</v>
      </c>
      <c r="D204" s="42"/>
    </row>
    <row r="205" s="39" customFormat="1" ht="22" customHeight="1" hidden="1">
      <c r="A205" s="19" t="s">
        <v>202</v>
      </c>
      <c r="B205" s="19" t="n">
        <v>11000</v>
      </c>
      <c r="C205" s="41" t="s">
        <v>431</v>
      </c>
      <c r="D205" s="42"/>
    </row>
    <row r="206" s="39" customFormat="1" ht="22" customHeight="1" hidden="1">
      <c r="A206" s="19" t="s">
        <v>203</v>
      </c>
      <c r="B206" s="19" t="n">
        <v>11000</v>
      </c>
      <c r="C206" s="41" t="s">
        <v>434</v>
      </c>
      <c r="D206" s="42"/>
    </row>
    <row r="207" s="39" customFormat="1" ht="22" customHeight="1" hidden="1">
      <c r="A207" s="19" t="s">
        <v>204</v>
      </c>
      <c r="B207" s="19" t="n">
        <v>10900</v>
      </c>
      <c r="C207" s="41" t="s">
        <v>431</v>
      </c>
      <c r="D207" s="42"/>
    </row>
    <row r="208" s="39" customFormat="1" ht="22" customHeight="1" hidden="1">
      <c r="A208" s="19" t="s">
        <v>205</v>
      </c>
      <c r="B208" s="19" t="n">
        <v>10900</v>
      </c>
      <c r="C208" s="41" t="s">
        <v>431</v>
      </c>
      <c r="D208" s="42"/>
    </row>
    <row r="209" s="39" customFormat="1" ht="22" customHeight="1" hidden="1">
      <c r="A209" s="19" t="s">
        <v>206</v>
      </c>
      <c r="B209" s="19" t="n">
        <v>10600</v>
      </c>
      <c r="C209" s="41" t="s">
        <v>431</v>
      </c>
      <c r="D209" s="42"/>
    </row>
    <row r="210" s="39" customFormat="1" ht="22" customHeight="1">
      <c r="A210" s="19" t="s">
        <v>207</v>
      </c>
      <c r="B210" s="19" t="n">
        <v>10500</v>
      </c>
      <c r="C210" s="41" t="s">
        <v>430</v>
      </c>
      <c r="D210" s="42"/>
    </row>
    <row r="211" s="39" customFormat="1" ht="22" customHeight="1" hidden="1">
      <c r="A211" s="19" t="s">
        <v>208</v>
      </c>
      <c r="B211" s="19" t="n">
        <v>10400</v>
      </c>
      <c r="C211" s="41" t="s">
        <v>431</v>
      </c>
      <c r="D211" s="42"/>
    </row>
    <row r="212" s="39" customFormat="1" ht="22" customHeight="1" hidden="1">
      <c r="A212" s="19" t="s">
        <v>209</v>
      </c>
      <c r="B212" s="19" t="n">
        <v>10400</v>
      </c>
      <c r="C212" s="45" t="s">
        <v>433</v>
      </c>
      <c r="D212" s="42"/>
    </row>
    <row r="213" s="39" customFormat="1" ht="22" customHeight="1" hidden="1">
      <c r="A213" s="19" t="s">
        <v>210</v>
      </c>
      <c r="B213" s="19" t="n">
        <v>10400</v>
      </c>
      <c r="C213" s="45" t="s">
        <v>434</v>
      </c>
      <c r="D213" s="42"/>
    </row>
    <row r="214" s="39" customFormat="1" ht="22" customHeight="1" hidden="1">
      <c r="A214" s="19" t="s">
        <v>211</v>
      </c>
      <c r="B214" s="19" t="n">
        <v>10300</v>
      </c>
      <c r="C214" s="45" t="s">
        <v>431</v>
      </c>
      <c r="D214" s="42"/>
    </row>
    <row r="215" s="39" customFormat="1" ht="22" customHeight="1" hidden="1">
      <c r="A215" s="19" t="s">
        <v>212</v>
      </c>
      <c r="B215" s="19" t="n">
        <v>10200</v>
      </c>
      <c r="C215" s="45" t="s">
        <v>431</v>
      </c>
      <c r="D215" s="42"/>
    </row>
    <row r="216" s="39" customFormat="1" ht="22" customHeight="1" hidden="1">
      <c r="A216" s="19" t="s">
        <v>213</v>
      </c>
      <c r="B216" s="19" t="n">
        <v>10100</v>
      </c>
      <c r="C216" s="45" t="s">
        <v>431</v>
      </c>
      <c r="D216" s="42"/>
    </row>
    <row r="217" s="39" customFormat="1" ht="22" customHeight="1" hidden="1">
      <c r="A217" s="19" t="s">
        <v>214</v>
      </c>
      <c r="B217" s="19" t="n">
        <v>10100</v>
      </c>
      <c r="C217" s="45" t="s">
        <v>433</v>
      </c>
      <c r="D217" s="42"/>
    </row>
    <row r="218" s="39" customFormat="1" ht="22" customHeight="1" hidden="1">
      <c r="A218" s="19" t="s">
        <v>215</v>
      </c>
      <c r="B218" s="19" t="n">
        <v>10100</v>
      </c>
      <c r="C218" s="45" t="s">
        <v>433</v>
      </c>
      <c r="D218" s="42"/>
    </row>
    <row r="219" s="39" customFormat="1" ht="22" customHeight="1" hidden="1">
      <c r="A219" s="19" t="s">
        <v>216</v>
      </c>
      <c r="B219" s="19" t="n">
        <v>9069</v>
      </c>
      <c r="C219" s="45" t="s">
        <v>433</v>
      </c>
      <c r="D219" s="42"/>
    </row>
    <row r="220" s="39" customFormat="1" ht="22" customHeight="1" hidden="1">
      <c r="A220" s="19" t="s">
        <v>217</v>
      </c>
      <c r="B220" s="19" t="n">
        <v>8932</v>
      </c>
      <c r="C220" s="45" t="s">
        <v>434</v>
      </c>
      <c r="D220" s="42"/>
    </row>
    <row r="221" s="39" customFormat="1" ht="22" customHeight="1">
      <c r="A221" s="19" t="s">
        <v>218</v>
      </c>
      <c r="B221" s="19" t="n">
        <v>8741</v>
      </c>
      <c r="C221" s="45" t="s">
        <v>430</v>
      </c>
      <c r="D221" s="42"/>
    </row>
    <row r="222" s="39" customFormat="1" ht="22" customHeight="1" hidden="1">
      <c r="A222" s="19" t="s">
        <v>219</v>
      </c>
      <c r="B222" s="19" t="n">
        <v>8320</v>
      </c>
      <c r="C222" s="45" t="s">
        <v>434</v>
      </c>
      <c r="D222" s="42"/>
    </row>
    <row r="223" s="39" customFormat="1" ht="22" customHeight="1" hidden="1">
      <c r="A223" s="19" t="s">
        <v>220</v>
      </c>
      <c r="B223" s="19" t="n">
        <v>8314</v>
      </c>
      <c r="C223" s="45" t="s">
        <v>431</v>
      </c>
      <c r="D223" s="42"/>
    </row>
    <row r="224" s="39" customFormat="1" ht="22" customHeight="1" hidden="1">
      <c r="A224" s="19" t="s">
        <v>221</v>
      </c>
      <c r="B224" s="19" t="n">
        <v>8075</v>
      </c>
      <c r="C224" s="45" t="s">
        <v>433</v>
      </c>
      <c r="D224" s="42"/>
    </row>
    <row r="225" s="39" customFormat="1" ht="22" customHeight="1" hidden="1">
      <c r="A225" s="19" t="s">
        <v>222</v>
      </c>
      <c r="B225" s="19" t="n">
        <v>7984</v>
      </c>
      <c r="C225" s="45" t="s">
        <v>433</v>
      </c>
      <c r="D225" s="42"/>
    </row>
    <row r="226" s="39" customFormat="1" ht="22" customHeight="1" hidden="1">
      <c r="A226" s="19" t="s">
        <v>223</v>
      </c>
      <c r="B226" s="19" t="n">
        <v>7905</v>
      </c>
      <c r="C226" s="45" t="s">
        <v>431</v>
      </c>
      <c r="D226" s="42"/>
    </row>
    <row r="227" s="39" customFormat="1" ht="22" customHeight="1" hidden="1">
      <c r="A227" s="19" t="s">
        <v>224</v>
      </c>
      <c r="B227" s="19" t="n">
        <v>7855</v>
      </c>
      <c r="C227" s="45" t="s">
        <v>431</v>
      </c>
      <c r="D227" s="42"/>
    </row>
    <row r="228" s="39" customFormat="1" ht="22" customHeight="1" hidden="1">
      <c r="A228" s="19" t="s">
        <v>225</v>
      </c>
      <c r="B228" s="19" t="n">
        <v>7557</v>
      </c>
      <c r="C228" s="45" t="s">
        <v>434</v>
      </c>
      <c r="D228" s="42"/>
    </row>
    <row r="229" s="39" customFormat="1" ht="22" customHeight="1">
      <c r="A229" s="19" t="s">
        <v>226</v>
      </c>
      <c r="B229" s="19" t="n">
        <v>7453</v>
      </c>
      <c r="C229" s="45" t="s">
        <v>430</v>
      </c>
      <c r="D229" s="42"/>
    </row>
    <row r="230" s="39" customFormat="1" ht="22" customHeight="1" hidden="1">
      <c r="A230" s="19" t="s">
        <v>227</v>
      </c>
      <c r="B230" s="19" t="n">
        <v>7446</v>
      </c>
      <c r="C230" s="45" t="s">
        <v>433</v>
      </c>
      <c r="D230" s="42"/>
    </row>
    <row r="231" s="39" customFormat="1" ht="22" customHeight="1" hidden="1">
      <c r="A231" s="19" t="s">
        <v>228</v>
      </c>
      <c r="B231" s="19" t="n">
        <v>7254</v>
      </c>
      <c r="C231" s="45" t="s">
        <v>431</v>
      </c>
      <c r="D231" s="42"/>
    </row>
    <row r="232" s="39" customFormat="1" ht="22" customHeight="1" hidden="1">
      <c r="A232" s="19" t="s">
        <v>229</v>
      </c>
      <c r="B232" s="19" t="n">
        <v>7132</v>
      </c>
      <c r="C232" s="45" t="s">
        <v>431</v>
      </c>
      <c r="D232" s="42"/>
    </row>
    <row r="233" s="39" customFormat="1" ht="22" customHeight="1" hidden="1">
      <c r="A233" s="19" t="s">
        <v>230</v>
      </c>
      <c r="B233" s="19" t="n">
        <v>7076</v>
      </c>
      <c r="C233" s="45" t="s">
        <v>431</v>
      </c>
      <c r="D233" s="42"/>
    </row>
    <row r="234" s="39" customFormat="1" ht="22" customHeight="1" hidden="1">
      <c r="A234" s="19" t="s">
        <v>231</v>
      </c>
      <c r="B234" s="19" t="n">
        <v>7070</v>
      </c>
      <c r="C234" s="45" t="s">
        <v>431</v>
      </c>
      <c r="D234" s="42"/>
    </row>
    <row r="235" s="39" customFormat="1" ht="22" customHeight="1">
      <c r="A235" s="19" t="s">
        <v>232</v>
      </c>
      <c r="B235" s="19" t="n">
        <v>6902</v>
      </c>
      <c r="C235" s="45" t="s">
        <v>430</v>
      </c>
      <c r="D235" s="42"/>
    </row>
    <row r="236" s="39" customFormat="1" ht="22" customHeight="1">
      <c r="A236" s="19" t="s">
        <v>233</v>
      </c>
      <c r="B236" s="19" t="n">
        <v>6882</v>
      </c>
      <c r="C236" s="45" t="s">
        <v>430</v>
      </c>
      <c r="D236" s="42"/>
    </row>
    <row r="237" s="39" customFormat="1" ht="22" customHeight="1" hidden="1">
      <c r="A237" s="19" t="s">
        <v>234</v>
      </c>
      <c r="B237" s="19" t="n">
        <v>6639</v>
      </c>
      <c r="C237" s="45" t="s">
        <v>431</v>
      </c>
      <c r="D237" s="42"/>
    </row>
    <row r="238" s="39" customFormat="1" ht="22" customHeight="1" hidden="1">
      <c r="A238" s="19" t="s">
        <v>235</v>
      </c>
      <c r="B238" s="19" t="n">
        <v>6608</v>
      </c>
      <c r="C238" s="45" t="s">
        <v>431</v>
      </c>
      <c r="D238" s="42"/>
    </row>
    <row r="239" s="39" customFormat="1" ht="22" customHeight="1" hidden="1">
      <c r="A239" s="19" t="s">
        <v>236</v>
      </c>
      <c r="B239" s="19" t="n">
        <v>6608</v>
      </c>
      <c r="C239" s="45" t="s">
        <v>431</v>
      </c>
      <c r="D239" s="42"/>
    </row>
    <row r="240" s="39" customFormat="1" ht="22" customHeight="1" hidden="1">
      <c r="A240" s="19" t="s">
        <v>237</v>
      </c>
      <c r="B240" s="19" t="n">
        <v>6536</v>
      </c>
      <c r="C240" s="45" t="s">
        <v>434</v>
      </c>
      <c r="D240" s="42"/>
    </row>
    <row r="241" s="39" customFormat="1" ht="22" customHeight="1" hidden="1">
      <c r="A241" s="19" t="s">
        <v>238</v>
      </c>
      <c r="B241" s="19" t="n">
        <v>6519</v>
      </c>
      <c r="C241" s="45" t="s">
        <v>436</v>
      </c>
      <c r="D241" s="42"/>
    </row>
    <row r="242" s="39" customFormat="1" ht="22" customHeight="1" hidden="1">
      <c r="A242" s="19" t="s">
        <v>239</v>
      </c>
      <c r="B242" s="19" t="n">
        <v>6519</v>
      </c>
      <c r="C242" s="45" t="s">
        <v>436</v>
      </c>
      <c r="D242" s="42"/>
    </row>
    <row r="243" s="39" customFormat="1" ht="22" customHeight="1">
      <c r="A243" s="19" t="s">
        <v>240</v>
      </c>
      <c r="B243" s="19" t="n">
        <v>6388</v>
      </c>
      <c r="C243" s="45" t="s">
        <v>430</v>
      </c>
      <c r="D243" s="42"/>
    </row>
    <row r="244" s="39" customFormat="1" ht="22" customHeight="1" hidden="1">
      <c r="A244" s="19" t="s">
        <v>241</v>
      </c>
      <c r="B244" s="19" t="n">
        <v>6348</v>
      </c>
      <c r="C244" s="45" t="s">
        <v>433</v>
      </c>
      <c r="D244" s="42"/>
    </row>
    <row r="245" s="39" customFormat="1" ht="22" customHeight="1" hidden="1">
      <c r="A245" s="19" t="s">
        <v>242</v>
      </c>
      <c r="B245" s="19" t="n">
        <v>6337</v>
      </c>
      <c r="C245" s="45" t="s">
        <v>436</v>
      </c>
      <c r="D245" s="42"/>
    </row>
    <row r="246" s="39" customFormat="1" ht="22" customHeight="1" hidden="1">
      <c r="A246" s="19" t="s">
        <v>243</v>
      </c>
      <c r="B246" s="19" t="n">
        <v>6318</v>
      </c>
      <c r="C246" s="45" t="s">
        <v>433</v>
      </c>
      <c r="D246" s="42"/>
    </row>
    <row r="247" s="39" customFormat="1" ht="22" customHeight="1" hidden="1">
      <c r="A247" s="19" t="s">
        <v>244</v>
      </c>
      <c r="B247" s="19" t="n">
        <v>6266</v>
      </c>
      <c r="C247" s="45" t="s">
        <v>431</v>
      </c>
      <c r="D247" s="42"/>
    </row>
    <row r="248" s="39" customFormat="1" ht="22" customHeight="1" hidden="1">
      <c r="A248" s="19" t="s">
        <v>245</v>
      </c>
      <c r="B248" s="19" t="n">
        <v>6046</v>
      </c>
      <c r="C248" s="45" t="s">
        <v>431</v>
      </c>
      <c r="D248" s="42"/>
    </row>
    <row r="249" s="39" customFormat="1" ht="22" customHeight="1" hidden="1">
      <c r="A249" s="19" t="s">
        <v>246</v>
      </c>
      <c r="B249" s="19" t="n">
        <v>6046</v>
      </c>
      <c r="C249" s="45" t="s">
        <v>431</v>
      </c>
      <c r="D249" s="42"/>
    </row>
    <row r="250" s="39" customFormat="1" ht="22" customHeight="1" hidden="1">
      <c r="A250" s="19" t="s">
        <v>247</v>
      </c>
      <c r="B250" s="19" t="n">
        <v>5986</v>
      </c>
      <c r="C250" s="45" t="s">
        <v>433</v>
      </c>
      <c r="D250" s="42"/>
    </row>
    <row r="251" s="39" customFormat="1" ht="22" customHeight="1" hidden="1">
      <c r="A251" s="19" t="s">
        <v>248</v>
      </c>
      <c r="B251" s="19" t="n">
        <v>5840</v>
      </c>
      <c r="C251" s="45" t="s">
        <v>433</v>
      </c>
      <c r="D251" s="42"/>
    </row>
    <row r="252" s="39" customFormat="1" ht="22" customHeight="1" hidden="1">
      <c r="A252" s="19" t="s">
        <v>249</v>
      </c>
      <c r="B252" s="19" t="n">
        <v>5809</v>
      </c>
      <c r="C252" s="45" t="s">
        <v>433</v>
      </c>
      <c r="D252" s="42"/>
    </row>
    <row r="253" s="39" customFormat="1" ht="22" customHeight="1" hidden="1">
      <c r="A253" s="19" t="s">
        <v>250</v>
      </c>
      <c r="B253" s="19" t="n">
        <v>5809</v>
      </c>
      <c r="C253" s="45" t="s">
        <v>433</v>
      </c>
      <c r="D253" s="42"/>
    </row>
    <row r="254" s="39" customFormat="1" ht="22" customHeight="1" hidden="1">
      <c r="A254" s="19" t="s">
        <v>251</v>
      </c>
      <c r="B254" s="19" t="n">
        <v>5805</v>
      </c>
      <c r="C254" s="45" t="s">
        <v>431</v>
      </c>
      <c r="D254" s="42"/>
    </row>
    <row r="255" s="39" customFormat="1" ht="22" customHeight="1" hidden="1">
      <c r="A255" s="19" t="s">
        <v>252</v>
      </c>
      <c r="B255" s="19" t="n">
        <v>5676</v>
      </c>
      <c r="C255" s="45" t="s">
        <v>431</v>
      </c>
      <c r="D255" s="42"/>
    </row>
    <row r="256" s="39" customFormat="1" ht="22" customHeight="1" hidden="1">
      <c r="A256" s="19" t="s">
        <v>253</v>
      </c>
      <c r="B256" s="19" t="n">
        <v>5658</v>
      </c>
      <c r="C256" s="45" t="s">
        <v>433</v>
      </c>
      <c r="D256" s="42"/>
    </row>
    <row r="257" s="39" customFormat="1" ht="22" customHeight="1" hidden="1">
      <c r="A257" s="19" t="s">
        <v>254</v>
      </c>
      <c r="B257" s="19" t="n">
        <v>5636</v>
      </c>
      <c r="C257" s="45" t="s">
        <v>431</v>
      </c>
      <c r="D257" s="42"/>
    </row>
    <row r="258" s="39" customFormat="1" ht="22" customHeight="1">
      <c r="A258" s="19" t="s">
        <v>255</v>
      </c>
      <c r="B258" s="19" t="n">
        <v>5522</v>
      </c>
      <c r="C258" s="45" t="s">
        <v>430</v>
      </c>
      <c r="D258" s="42"/>
    </row>
    <row r="259" s="39" customFormat="1" ht="22" customHeight="1">
      <c r="A259" s="19" t="s">
        <v>256</v>
      </c>
      <c r="B259" s="19" t="n">
        <v>5377</v>
      </c>
      <c r="C259" s="45" t="s">
        <v>430</v>
      </c>
      <c r="D259" s="42"/>
    </row>
    <row r="260" s="39" customFormat="1" ht="22" customHeight="1" hidden="1">
      <c r="A260" s="19" t="s">
        <v>257</v>
      </c>
      <c r="B260" s="19" t="n">
        <v>5271</v>
      </c>
      <c r="C260" s="45" t="s">
        <v>434</v>
      </c>
      <c r="D260" s="42"/>
    </row>
    <row r="261" s="39" customFormat="1" ht="22" customHeight="1" hidden="1">
      <c r="A261" s="19" t="s">
        <v>258</v>
      </c>
      <c r="B261" s="19" t="n">
        <v>4856</v>
      </c>
      <c r="C261" s="45" t="s">
        <v>431</v>
      </c>
      <c r="D261" s="42"/>
    </row>
    <row r="262" s="39" customFormat="1" ht="22" customHeight="1" hidden="1">
      <c r="A262" s="19" t="s">
        <v>259</v>
      </c>
      <c r="B262" s="19" t="n">
        <v>4677</v>
      </c>
      <c r="C262" s="45" t="s">
        <v>429</v>
      </c>
      <c r="D262" s="42"/>
    </row>
    <row r="263" s="39" customFormat="1" ht="22" customHeight="1" hidden="1">
      <c r="A263" s="19" t="s">
        <v>260</v>
      </c>
      <c r="B263" s="19" t="n">
        <v>4662</v>
      </c>
      <c r="C263" s="45" t="s">
        <v>431</v>
      </c>
      <c r="D263" s="42"/>
    </row>
    <row r="264" s="39" customFormat="1" ht="22" customHeight="1" hidden="1">
      <c r="A264" s="19" t="s">
        <v>261</v>
      </c>
      <c r="B264" s="19" t="n">
        <v>4638</v>
      </c>
      <c r="C264" s="45" t="s">
        <v>434</v>
      </c>
      <c r="D264" s="42"/>
    </row>
    <row r="265" s="39" customFormat="1" ht="22" customHeight="1" hidden="1">
      <c r="A265" s="19" t="s">
        <v>262</v>
      </c>
      <c r="B265" s="19" t="n">
        <v>4638</v>
      </c>
      <c r="C265" s="45" t="s">
        <v>432</v>
      </c>
      <c r="D265" s="42"/>
    </row>
    <row r="266" s="39" customFormat="1" ht="22" customHeight="1" hidden="1">
      <c r="A266" s="19" t="s">
        <v>263</v>
      </c>
      <c r="B266" s="19" t="n">
        <v>4587</v>
      </c>
      <c r="C266" s="45" t="s">
        <v>431</v>
      </c>
      <c r="D266" s="42"/>
    </row>
    <row r="267" s="39" customFormat="1" ht="22" customHeight="1" hidden="1">
      <c r="A267" s="19" t="s">
        <v>264</v>
      </c>
      <c r="B267" s="19" t="n">
        <v>4369</v>
      </c>
      <c r="C267" s="45" t="s">
        <v>429</v>
      </c>
      <c r="D267" s="42"/>
    </row>
    <row r="268" s="39" customFormat="1" ht="22" customHeight="1" hidden="1">
      <c r="A268" s="19" t="s">
        <v>265</v>
      </c>
      <c r="B268" s="19" t="n">
        <v>4218</v>
      </c>
      <c r="C268" s="45" t="s">
        <v>436</v>
      </c>
      <c r="D268" s="42"/>
    </row>
    <row r="269" s="39" customFormat="1" ht="22" customHeight="1" hidden="1">
      <c r="A269" s="19" t="s">
        <v>266</v>
      </c>
      <c r="B269" s="19" t="n">
        <v>4207</v>
      </c>
      <c r="C269" s="45" t="s">
        <v>434</v>
      </c>
      <c r="D269" s="42"/>
    </row>
    <row r="270" s="39" customFormat="1" ht="22" customHeight="1" hidden="1">
      <c r="A270" s="19" t="s">
        <v>267</v>
      </c>
      <c r="B270" s="19" t="n">
        <v>4203</v>
      </c>
      <c r="C270" s="45" t="s">
        <v>431</v>
      </c>
      <c r="D270" s="42"/>
    </row>
    <row r="271" s="39" customFormat="1" ht="22" customHeight="1" hidden="1">
      <c r="A271" s="19" t="s">
        <v>268</v>
      </c>
      <c r="B271" s="19" t="n">
        <v>4136</v>
      </c>
      <c r="C271" s="45" t="s">
        <v>429</v>
      </c>
      <c r="D271" s="42"/>
    </row>
    <row r="272" s="39" customFormat="1" ht="22" customHeight="1" hidden="1">
      <c r="A272" s="19" t="s">
        <v>269</v>
      </c>
      <c r="B272" s="19" t="n">
        <v>3891</v>
      </c>
      <c r="C272" s="45" t="s">
        <v>431</v>
      </c>
      <c r="D272" s="42"/>
    </row>
    <row r="273" s="39" customFormat="1" ht="22" customHeight="1" hidden="1">
      <c r="A273" s="19" t="s">
        <v>270</v>
      </c>
      <c r="B273" s="19" t="n">
        <v>3518</v>
      </c>
      <c r="C273" s="45" t="s">
        <v>431</v>
      </c>
      <c r="D273" s="42"/>
    </row>
    <row r="274" s="39" customFormat="1" ht="22" customHeight="1" hidden="1">
      <c r="A274" s="19" t="s">
        <v>271</v>
      </c>
      <c r="B274" s="19" t="n">
        <v>3500</v>
      </c>
      <c r="C274" s="45" t="s">
        <v>429</v>
      </c>
    </row>
    <row r="275" s="39" customFormat="1" ht="22" customHeight="1" hidden="1">
      <c r="A275" s="19" t="s">
        <v>272</v>
      </c>
      <c r="B275" s="19" t="n">
        <v>3363</v>
      </c>
      <c r="C275" s="45" t="s">
        <v>433</v>
      </c>
    </row>
    <row r="276" s="39" customFormat="1" ht="22" customHeight="1">
      <c r="A276" s="19" t="s">
        <v>273</v>
      </c>
      <c r="B276" s="19" t="n">
        <v>3305</v>
      </c>
      <c r="C276" s="45" t="s">
        <v>430</v>
      </c>
    </row>
    <row r="277" s="39" customFormat="1" ht="22" customHeight="1">
      <c r="A277" s="19" t="s">
        <v>274</v>
      </c>
      <c r="B277" s="19" t="n">
        <v>3292</v>
      </c>
      <c r="C277" s="45" t="s">
        <v>430</v>
      </c>
    </row>
    <row r="278" s="39" customFormat="1" ht="22" customHeight="1">
      <c r="A278" s="19" t="s">
        <v>275</v>
      </c>
      <c r="B278" s="19" t="n">
        <v>3284</v>
      </c>
      <c r="C278" s="45" t="s">
        <v>430</v>
      </c>
    </row>
    <row r="279" s="39" customFormat="1" ht="22" customHeight="1" hidden="1">
      <c r="A279" s="19" t="s">
        <v>276</v>
      </c>
      <c r="B279" s="19" t="n">
        <v>3270</v>
      </c>
      <c r="C279" s="45" t="s">
        <v>431</v>
      </c>
    </row>
    <row r="280" s="39" customFormat="1" ht="22" customHeight="1" hidden="1">
      <c r="A280" s="19" t="s">
        <v>277</v>
      </c>
      <c r="B280" s="19" t="n">
        <v>3259</v>
      </c>
      <c r="C280" s="45" t="s">
        <v>431</v>
      </c>
    </row>
    <row r="281" s="39" customFormat="1" ht="22" customHeight="1">
      <c r="A281" s="19" t="s">
        <v>278</v>
      </c>
      <c r="B281" s="19" t="n">
        <v>3085</v>
      </c>
      <c r="C281" s="45" t="s">
        <v>430</v>
      </c>
    </row>
    <row r="282" s="39" customFormat="1" ht="22" customHeight="1">
      <c r="A282" s="19" t="s">
        <v>279</v>
      </c>
      <c r="B282" s="19" t="n">
        <v>3070</v>
      </c>
      <c r="C282" s="45" t="s">
        <v>430</v>
      </c>
    </row>
    <row r="283" s="39" customFormat="1" ht="22" customHeight="1" hidden="1">
      <c r="A283" s="19" t="s">
        <v>280</v>
      </c>
      <c r="B283" s="19" t="n">
        <v>2998</v>
      </c>
      <c r="C283" s="45" t="s">
        <v>431</v>
      </c>
    </row>
    <row r="284" s="39" customFormat="1" ht="22" customHeight="1" hidden="1">
      <c r="A284" s="19" t="s">
        <v>281</v>
      </c>
      <c r="B284" s="19" t="n">
        <v>2998</v>
      </c>
      <c r="C284" s="45" t="s">
        <v>431</v>
      </c>
    </row>
    <row r="285" s="39" customFormat="1" ht="22" customHeight="1" hidden="1">
      <c r="A285" s="19" t="s">
        <v>282</v>
      </c>
      <c r="B285" s="19" t="n">
        <v>2972</v>
      </c>
      <c r="C285" s="45" t="s">
        <v>436</v>
      </c>
    </row>
    <row r="286" s="39" customFormat="1" ht="22" customHeight="1" hidden="1">
      <c r="A286" s="19" t="s">
        <v>283</v>
      </c>
      <c r="B286" s="19" t="n">
        <v>2924</v>
      </c>
      <c r="C286" s="45" t="s">
        <v>431</v>
      </c>
    </row>
    <row r="287" s="39" customFormat="1" ht="22" customHeight="1" hidden="1">
      <c r="A287" s="19" t="s">
        <v>284</v>
      </c>
      <c r="B287" s="19" t="n">
        <v>2924</v>
      </c>
      <c r="C287" s="45" t="s">
        <v>431</v>
      </c>
    </row>
    <row r="288" s="39" customFormat="1" ht="22" customHeight="1" hidden="1">
      <c r="A288" s="19" t="s">
        <v>285</v>
      </c>
      <c r="B288" s="19" t="n">
        <v>2902</v>
      </c>
      <c r="C288" s="45" t="s">
        <v>433</v>
      </c>
    </row>
    <row r="289" s="39" customFormat="1" ht="22" customHeight="1" hidden="1">
      <c r="A289" s="19" t="s">
        <v>286</v>
      </c>
      <c r="B289" s="19" t="n">
        <v>2880</v>
      </c>
      <c r="C289" s="45" t="s">
        <v>434</v>
      </c>
    </row>
    <row r="290" s="39" customFormat="1" ht="22" customHeight="1" hidden="1">
      <c r="A290" s="19" t="s">
        <v>287</v>
      </c>
      <c r="B290" s="19" t="n">
        <v>2880</v>
      </c>
      <c r="C290" s="45" t="s">
        <v>434</v>
      </c>
    </row>
    <row r="291" s="39" customFormat="1" ht="22" customHeight="1" hidden="1">
      <c r="A291" s="19" t="s">
        <v>288</v>
      </c>
      <c r="B291" s="19" t="n">
        <v>2880</v>
      </c>
      <c r="C291" s="45" t="s">
        <v>434</v>
      </c>
    </row>
    <row r="292" s="39" customFormat="1" ht="22" customHeight="1" hidden="1">
      <c r="A292" s="19" t="s">
        <v>289</v>
      </c>
      <c r="B292" s="19" t="n">
        <v>2608</v>
      </c>
      <c r="C292" s="45" t="s">
        <v>429</v>
      </c>
    </row>
    <row r="293" s="39" customFormat="1" ht="22" customHeight="1" hidden="1">
      <c r="A293" s="19" t="s">
        <v>290</v>
      </c>
      <c r="B293" s="19" t="n">
        <v>2599</v>
      </c>
      <c r="C293" s="45" t="s">
        <v>434</v>
      </c>
    </row>
    <row r="294" s="39" customFormat="1" ht="22" customHeight="1" hidden="1">
      <c r="A294" s="19" t="s">
        <v>291</v>
      </c>
      <c r="B294" s="19" t="n">
        <v>2595</v>
      </c>
      <c r="C294" s="45" t="s">
        <v>433</v>
      </c>
    </row>
    <row r="295" s="39" customFormat="1" ht="22" customHeight="1" hidden="1">
      <c r="A295" s="19" t="s">
        <v>292</v>
      </c>
      <c r="B295" s="19" t="n">
        <v>2495</v>
      </c>
      <c r="C295" s="45" t="s">
        <v>431</v>
      </c>
    </row>
    <row r="296" s="39" customFormat="1" ht="22" customHeight="1">
      <c r="A296" s="19" t="s">
        <v>293</v>
      </c>
      <c r="B296" s="19" t="n">
        <v>2423</v>
      </c>
      <c r="C296" s="45" t="s">
        <v>430</v>
      </c>
    </row>
    <row r="297" s="39" customFormat="1" ht="22" customHeight="1" hidden="1">
      <c r="A297" s="19" t="s">
        <v>294</v>
      </c>
      <c r="B297" s="19" t="n">
        <v>2409</v>
      </c>
      <c r="C297" s="45" t="s">
        <v>433</v>
      </c>
    </row>
    <row r="298" s="39" customFormat="1" ht="22" customHeight="1" hidden="1">
      <c r="A298" s="19" t="s">
        <v>295</v>
      </c>
      <c r="B298" s="19" t="n">
        <v>2281</v>
      </c>
      <c r="C298" s="45" t="s">
        <v>436</v>
      </c>
    </row>
    <row r="299" s="39" customFormat="1" ht="22" customHeight="1" hidden="1">
      <c r="A299" s="19" t="s">
        <v>296</v>
      </c>
      <c r="B299" s="19" t="n">
        <v>2227</v>
      </c>
      <c r="C299" s="45" t="s">
        <v>433</v>
      </c>
    </row>
    <row r="300" s="39" customFormat="1" ht="22" customHeight="1" hidden="1">
      <c r="A300" s="19" t="s">
        <v>297</v>
      </c>
      <c r="B300" s="19" t="n">
        <v>2145</v>
      </c>
      <c r="C300" s="45" t="s">
        <v>434</v>
      </c>
    </row>
    <row r="301" s="39" customFormat="1" ht="22" customHeight="1" hidden="1">
      <c r="A301" s="19" t="s">
        <v>298</v>
      </c>
      <c r="B301" s="19" t="n">
        <v>2144</v>
      </c>
      <c r="C301" s="45" t="s">
        <v>431</v>
      </c>
    </row>
    <row r="302" s="39" customFormat="1" ht="22" customHeight="1" hidden="1">
      <c r="A302" s="19" t="s">
        <v>299</v>
      </c>
      <c r="B302" s="19" t="n">
        <v>2122</v>
      </c>
      <c r="C302" s="45" t="s">
        <v>431</v>
      </c>
    </row>
    <row r="303" s="39" customFormat="1" ht="22" customHeight="1" hidden="1">
      <c r="A303" s="19" t="s">
        <v>300</v>
      </c>
      <c r="B303" s="19" t="n">
        <v>2112</v>
      </c>
      <c r="C303" s="45" t="s">
        <v>431</v>
      </c>
    </row>
    <row r="304" s="39" customFormat="1" ht="22" customHeight="1" hidden="1">
      <c r="A304" s="19" t="s">
        <v>301</v>
      </c>
      <c r="B304" s="19" t="n">
        <v>2077</v>
      </c>
      <c r="C304" s="45" t="s">
        <v>433</v>
      </c>
    </row>
    <row r="305" s="39" customFormat="1" ht="22" customHeight="1" hidden="1">
      <c r="A305" s="19" t="s">
        <v>302</v>
      </c>
      <c r="B305" s="19" t="n">
        <v>2014</v>
      </c>
      <c r="C305" s="45" t="s">
        <v>433</v>
      </c>
    </row>
    <row r="306" s="39" customFormat="1" ht="22" customHeight="1" hidden="1">
      <c r="A306" s="19" t="s">
        <v>303</v>
      </c>
      <c r="B306" s="19" t="n">
        <v>1962</v>
      </c>
      <c r="C306" s="45" t="s">
        <v>436</v>
      </c>
    </row>
    <row r="307" s="39" customFormat="1" ht="22" customHeight="1">
      <c r="A307" s="19" t="s">
        <v>304</v>
      </c>
      <c r="B307" s="19" t="n">
        <v>1941</v>
      </c>
      <c r="C307" s="45" t="s">
        <v>430</v>
      </c>
    </row>
    <row r="308" s="39" customFormat="1" ht="22" customHeight="1" hidden="1">
      <c r="A308" s="19" t="s">
        <v>305</v>
      </c>
      <c r="B308" s="19" t="n">
        <v>1922</v>
      </c>
      <c r="C308" s="45" t="s">
        <v>429</v>
      </c>
    </row>
    <row r="309" s="39" customFormat="1" ht="22" customHeight="1" hidden="1">
      <c r="A309" s="19" t="s">
        <v>306</v>
      </c>
      <c r="B309" s="19" t="n">
        <v>1896</v>
      </c>
      <c r="C309" s="45" t="s">
        <v>431</v>
      </c>
    </row>
    <row r="310" s="39" customFormat="1" ht="22" customHeight="1" hidden="1">
      <c r="A310" s="19" t="s">
        <v>307</v>
      </c>
      <c r="B310" s="19" t="n">
        <v>1896</v>
      </c>
      <c r="C310" s="45" t="s">
        <v>431</v>
      </c>
    </row>
    <row r="311" s="39" customFormat="1" ht="22" customHeight="1" hidden="1">
      <c r="A311" s="19" t="s">
        <v>308</v>
      </c>
      <c r="B311" s="19" t="n">
        <v>1857</v>
      </c>
      <c r="C311" s="45" t="s">
        <v>429</v>
      </c>
    </row>
    <row r="312" s="39" customFormat="1" ht="22" customHeight="1" hidden="1">
      <c r="A312" s="19" t="s">
        <v>309</v>
      </c>
      <c r="B312" s="19" t="n">
        <v>1812</v>
      </c>
      <c r="C312" s="45" t="s">
        <v>431</v>
      </c>
    </row>
    <row r="313" s="39" customFormat="1" ht="22" customHeight="1" hidden="1">
      <c r="A313" s="19" t="s">
        <v>310</v>
      </c>
      <c r="B313" s="19" t="n">
        <v>1774</v>
      </c>
      <c r="C313" s="45" t="s">
        <v>436</v>
      </c>
    </row>
    <row r="314" s="39" customFormat="1" ht="22" customHeight="1" hidden="1">
      <c r="A314" s="19" t="s">
        <v>311</v>
      </c>
      <c r="B314" s="19" t="n">
        <v>1768</v>
      </c>
      <c r="C314" s="45" t="s">
        <v>433</v>
      </c>
    </row>
    <row r="315" s="39" customFormat="1" ht="22" customHeight="1" hidden="1">
      <c r="A315" s="19" t="s">
        <v>312</v>
      </c>
      <c r="B315" s="19" t="n">
        <v>1698</v>
      </c>
      <c r="C315" s="45" t="s">
        <v>431</v>
      </c>
    </row>
    <row r="316" s="39" customFormat="1" ht="22" customHeight="1" hidden="1">
      <c r="A316" s="19" t="s">
        <v>313</v>
      </c>
      <c r="B316" s="19" t="n">
        <v>1695</v>
      </c>
      <c r="C316" s="45" t="s">
        <v>432</v>
      </c>
    </row>
    <row r="317" s="39" customFormat="1" ht="22" customHeight="1" hidden="1">
      <c r="A317" s="19" t="s">
        <v>314</v>
      </c>
      <c r="B317" s="19" t="n">
        <v>1649</v>
      </c>
      <c r="C317" s="45" t="s">
        <v>433</v>
      </c>
    </row>
    <row r="318" s="39" customFormat="1" ht="22" customHeight="1">
      <c r="A318" s="19" t="s">
        <v>315</v>
      </c>
      <c r="B318" s="19" t="n">
        <v>1628</v>
      </c>
      <c r="C318" s="45" t="s">
        <v>430</v>
      </c>
    </row>
    <row r="319" s="39" customFormat="1" ht="22" customHeight="1" hidden="1">
      <c r="A319" s="19" t="s">
        <v>316</v>
      </c>
      <c r="B319" s="19" t="n">
        <v>1564</v>
      </c>
      <c r="C319" s="45" t="s">
        <v>431</v>
      </c>
    </row>
    <row r="320" s="39" customFormat="1" ht="22" customHeight="1" hidden="1">
      <c r="A320" s="19" t="s">
        <v>317</v>
      </c>
      <c r="B320" s="19" t="n">
        <v>1552</v>
      </c>
      <c r="C320" s="45" t="s">
        <v>433</v>
      </c>
    </row>
    <row r="321" s="39" customFormat="1" ht="22" customHeight="1">
      <c r="A321" s="19" t="s">
        <v>318</v>
      </c>
      <c r="B321" s="19" t="n">
        <v>1538</v>
      </c>
      <c r="C321" s="45" t="s">
        <v>430</v>
      </c>
    </row>
    <row r="322" s="39" customFormat="1" ht="22" customHeight="1" hidden="1">
      <c r="A322" s="19" t="s">
        <v>319</v>
      </c>
      <c r="B322" s="19" t="n">
        <v>1457</v>
      </c>
      <c r="C322" s="45" t="s">
        <v>433</v>
      </c>
    </row>
    <row r="323" s="39" customFormat="1" ht="22" customHeight="1" hidden="1">
      <c r="A323" s="19" t="s">
        <v>320</v>
      </c>
      <c r="B323" s="19" t="n">
        <v>1447</v>
      </c>
      <c r="C323" s="45" t="s">
        <v>431</v>
      </c>
    </row>
    <row r="324" s="39" customFormat="1" ht="22" customHeight="1" hidden="1">
      <c r="A324" s="19" t="s">
        <v>321</v>
      </c>
      <c r="B324" s="19" t="n">
        <v>1442</v>
      </c>
      <c r="C324" s="45" t="s">
        <v>431</v>
      </c>
    </row>
    <row r="325" s="39" customFormat="1" ht="22" customHeight="1" hidden="1">
      <c r="A325" s="19" t="s">
        <v>322</v>
      </c>
      <c r="B325" s="19" t="n">
        <v>1380</v>
      </c>
      <c r="C325" s="45" t="s">
        <v>431</v>
      </c>
    </row>
    <row r="326" s="39" customFormat="1" ht="22" customHeight="1" hidden="1">
      <c r="A326" s="19" t="s">
        <v>323</v>
      </c>
      <c r="B326" s="19" t="n">
        <v>1375</v>
      </c>
      <c r="C326" s="45" t="s">
        <v>431</v>
      </c>
    </row>
    <row r="327" s="39" customFormat="1" ht="22" customHeight="1" hidden="1">
      <c r="A327" s="19" t="s">
        <v>324</v>
      </c>
      <c r="B327" s="19" t="n">
        <v>1354</v>
      </c>
      <c r="C327" s="45" t="s">
        <v>431</v>
      </c>
    </row>
    <row r="328" s="39" customFormat="1" ht="22" customHeight="1">
      <c r="A328" s="19" t="s">
        <v>325</v>
      </c>
      <c r="B328" s="19" t="n">
        <v>1340</v>
      </c>
      <c r="C328" s="45" t="s">
        <v>430</v>
      </c>
    </row>
    <row r="329" s="39" customFormat="1" ht="22" customHeight="1" hidden="1">
      <c r="A329" s="19" t="s">
        <v>326</v>
      </c>
      <c r="B329" s="19" t="n">
        <v>1332</v>
      </c>
      <c r="C329" s="45" t="s">
        <v>431</v>
      </c>
    </row>
    <row r="330" s="39" customFormat="1" ht="22" customHeight="1" hidden="1">
      <c r="A330" s="19" t="s">
        <v>327</v>
      </c>
      <c r="B330" s="19" t="n">
        <v>1332</v>
      </c>
      <c r="C330" s="45" t="s">
        <v>431</v>
      </c>
    </row>
    <row r="331" s="39" customFormat="1" ht="22" customHeight="1" hidden="1">
      <c r="A331" s="19" t="s">
        <v>328</v>
      </c>
      <c r="B331" s="19" t="n">
        <v>1291</v>
      </c>
      <c r="C331" s="45" t="s">
        <v>429</v>
      </c>
    </row>
    <row r="332" s="39" customFormat="1" ht="22" customHeight="1">
      <c r="A332" s="19" t="s">
        <v>329</v>
      </c>
      <c r="B332" s="19" t="n">
        <v>1243</v>
      </c>
      <c r="C332" s="45" t="s">
        <v>430</v>
      </c>
    </row>
    <row r="333" s="39" customFormat="1" ht="22" customHeight="1" hidden="1">
      <c r="A333" s="19" t="s">
        <v>330</v>
      </c>
      <c r="B333" s="19" t="n">
        <v>1167</v>
      </c>
      <c r="C333" s="45" t="s">
        <v>436</v>
      </c>
    </row>
    <row r="334" s="39" customFormat="1" ht="22" customHeight="1" hidden="1">
      <c r="A334" s="19" t="s">
        <v>331</v>
      </c>
      <c r="B334" s="19" t="n">
        <v>1078</v>
      </c>
      <c r="C334" s="45" t="s">
        <v>433</v>
      </c>
    </row>
    <row r="335" s="39" customFormat="1" ht="22" customHeight="1" hidden="1">
      <c r="A335" s="19" t="s">
        <v>332</v>
      </c>
      <c r="B335" s="19" t="n">
        <v>1040</v>
      </c>
      <c r="C335" s="45" t="s">
        <v>431</v>
      </c>
    </row>
    <row r="336" s="39" customFormat="1" ht="22" customHeight="1" hidden="1">
      <c r="A336" s="19" t="s">
        <v>333</v>
      </c>
      <c r="B336" s="19" t="n">
        <v>1040</v>
      </c>
      <c r="C336" s="45" t="s">
        <v>431</v>
      </c>
    </row>
    <row r="337" s="39" customFormat="1" ht="22" customHeight="1" hidden="1">
      <c r="A337" s="19" t="s">
        <v>334</v>
      </c>
      <c r="B337" s="19" t="n">
        <v>1025</v>
      </c>
      <c r="C337" s="45" t="s">
        <v>434</v>
      </c>
    </row>
    <row r="338" s="39" customFormat="1" ht="22" customHeight="1">
      <c r="A338" s="19" t="s">
        <v>335</v>
      </c>
      <c r="B338" s="19" t="n">
        <v>1016</v>
      </c>
      <c r="C338" s="45" t="s">
        <v>430</v>
      </c>
    </row>
    <row r="339" s="39" customFormat="1" ht="22" customHeight="1" hidden="1">
      <c r="A339" s="19" t="s">
        <v>336</v>
      </c>
      <c r="B339" s="19" t="n">
        <v>987</v>
      </c>
      <c r="C339" s="45" t="s">
        <v>431</v>
      </c>
    </row>
    <row r="340" s="39" customFormat="1" ht="22" customHeight="1" hidden="1">
      <c r="A340" s="19" t="s">
        <v>337</v>
      </c>
      <c r="B340" s="19" t="n">
        <v>965</v>
      </c>
      <c r="C340" s="45" t="s">
        <v>433</v>
      </c>
    </row>
    <row r="341" s="39" customFormat="1" ht="22" customHeight="1" hidden="1">
      <c r="A341" s="19" t="s">
        <v>338</v>
      </c>
      <c r="B341" s="19" t="n">
        <v>935</v>
      </c>
      <c r="C341" s="45" t="s">
        <v>436</v>
      </c>
    </row>
    <row r="342" s="39" customFormat="1" ht="22" customHeight="1" hidden="1">
      <c r="A342" s="19" t="s">
        <v>339</v>
      </c>
      <c r="B342" s="19" t="n">
        <v>932</v>
      </c>
      <c r="C342" s="45" t="s">
        <v>436</v>
      </c>
    </row>
    <row r="343" s="39" customFormat="1" ht="22" customHeight="1" hidden="1">
      <c r="A343" s="19" t="s">
        <v>340</v>
      </c>
      <c r="B343" s="19" t="n">
        <v>932</v>
      </c>
      <c r="C343" s="45" t="s">
        <v>436</v>
      </c>
    </row>
    <row r="344" s="39" customFormat="1" ht="22" customHeight="1" hidden="1">
      <c r="A344" s="19" t="s">
        <v>341</v>
      </c>
      <c r="B344" s="19" t="n">
        <v>888</v>
      </c>
      <c r="C344" s="45" t="s">
        <v>436</v>
      </c>
    </row>
    <row r="345" s="39" customFormat="1" ht="22" customHeight="1" hidden="1">
      <c r="A345" s="19" t="s">
        <v>342</v>
      </c>
      <c r="B345" s="19" t="n">
        <v>869</v>
      </c>
      <c r="C345" s="45" t="s">
        <v>431</v>
      </c>
    </row>
    <row r="346" s="39" customFormat="1" ht="22" customHeight="1" hidden="1">
      <c r="A346" s="19" t="s">
        <v>343</v>
      </c>
      <c r="B346" s="19" t="n">
        <v>863</v>
      </c>
      <c r="C346" s="45" t="s">
        <v>431</v>
      </c>
    </row>
    <row r="347" s="39" customFormat="1" ht="22" customHeight="1" hidden="1">
      <c r="A347" s="19" t="s">
        <v>344</v>
      </c>
      <c r="B347" s="19" t="n">
        <v>863</v>
      </c>
      <c r="C347" s="45" t="s">
        <v>431</v>
      </c>
    </row>
    <row r="348" s="39" customFormat="1" ht="22" customHeight="1" hidden="1">
      <c r="A348" s="19" t="s">
        <v>345</v>
      </c>
      <c r="B348" s="19" t="n">
        <v>854</v>
      </c>
      <c r="C348" s="45" t="s">
        <v>431</v>
      </c>
    </row>
    <row r="349" s="39" customFormat="1" ht="22" customHeight="1" hidden="1">
      <c r="A349" s="19" t="s">
        <v>346</v>
      </c>
      <c r="B349" s="19" t="n">
        <v>827</v>
      </c>
      <c r="C349" s="45" t="s">
        <v>431</v>
      </c>
    </row>
    <row r="350" s="39" customFormat="1" ht="22" customHeight="1" hidden="1">
      <c r="A350" s="19" t="s">
        <v>347</v>
      </c>
      <c r="B350" s="19" t="n">
        <v>827</v>
      </c>
      <c r="C350" s="45" t="s">
        <v>431</v>
      </c>
    </row>
    <row r="351" s="39" customFormat="1" ht="22" customHeight="1" hidden="1">
      <c r="A351" s="19" t="s">
        <v>348</v>
      </c>
      <c r="B351" s="19" t="n">
        <v>827</v>
      </c>
      <c r="C351" s="45" t="s">
        <v>431</v>
      </c>
    </row>
    <row r="352" s="39" customFormat="1" ht="22" customHeight="1" hidden="1">
      <c r="A352" s="19" t="s">
        <v>349</v>
      </c>
      <c r="B352" s="19" t="n">
        <v>812</v>
      </c>
      <c r="C352" s="45" t="s">
        <v>431</v>
      </c>
    </row>
    <row r="353" s="39" customFormat="1" ht="22" customHeight="1" hidden="1">
      <c r="A353" s="19" t="s">
        <v>350</v>
      </c>
      <c r="B353" s="19" t="n">
        <v>812</v>
      </c>
      <c r="C353" s="45" t="s">
        <v>431</v>
      </c>
    </row>
    <row r="354" s="39" customFormat="1" ht="22" customHeight="1" hidden="1">
      <c r="A354" s="19" t="s">
        <v>351</v>
      </c>
      <c r="B354" s="19" t="n">
        <v>800</v>
      </c>
      <c r="C354" s="45" t="s">
        <v>436</v>
      </c>
    </row>
    <row r="355" s="39" customFormat="1" ht="22" customHeight="1" hidden="1">
      <c r="A355" s="19" t="s">
        <v>352</v>
      </c>
      <c r="B355" s="19" t="n">
        <v>800</v>
      </c>
      <c r="C355" s="45" t="s">
        <v>436</v>
      </c>
    </row>
    <row r="356" s="39" customFormat="1" ht="22" customHeight="1" hidden="1">
      <c r="A356" s="19" t="s">
        <v>353</v>
      </c>
      <c r="B356" s="19" t="n">
        <v>800</v>
      </c>
      <c r="C356" s="45" t="s">
        <v>436</v>
      </c>
    </row>
    <row r="357" s="39" customFormat="1" ht="22" customHeight="1" hidden="1">
      <c r="A357" s="19" t="s">
        <v>354</v>
      </c>
      <c r="B357" s="19" t="n">
        <v>800</v>
      </c>
      <c r="C357" s="45" t="s">
        <v>436</v>
      </c>
    </row>
    <row r="358" s="39" customFormat="1" ht="22" customHeight="1" hidden="1">
      <c r="A358" s="19" t="s">
        <v>355</v>
      </c>
      <c r="B358" s="19" t="n">
        <v>800</v>
      </c>
      <c r="C358" s="45" t="s">
        <v>436</v>
      </c>
    </row>
    <row r="359" s="39" customFormat="1" ht="22" customHeight="1">
      <c r="A359" s="19" t="s">
        <v>356</v>
      </c>
      <c r="B359" s="19" t="n">
        <v>787</v>
      </c>
      <c r="C359" s="45" t="s">
        <v>430</v>
      </c>
    </row>
    <row r="360" s="39" customFormat="1" ht="22" customHeight="1" hidden="1">
      <c r="A360" s="19" t="s">
        <v>357</v>
      </c>
      <c r="B360" s="19" t="n">
        <v>776</v>
      </c>
      <c r="C360" s="45" t="s">
        <v>431</v>
      </c>
    </row>
    <row r="361" s="39" customFormat="1" ht="22" customHeight="1" hidden="1">
      <c r="A361" s="19" t="s">
        <v>358</v>
      </c>
      <c r="B361" s="19" t="n">
        <v>762</v>
      </c>
      <c r="C361" s="45" t="s">
        <v>436</v>
      </c>
    </row>
    <row r="362" s="39" customFormat="1" ht="22" customHeight="1" hidden="1">
      <c r="A362" s="19" t="s">
        <v>359</v>
      </c>
      <c r="B362" s="19" t="n">
        <v>755</v>
      </c>
      <c r="C362" s="45" t="s">
        <v>431</v>
      </c>
    </row>
    <row r="363" s="39" customFormat="1" ht="22" customHeight="1" hidden="1">
      <c r="A363" s="19" t="s">
        <v>360</v>
      </c>
      <c r="B363" s="19" t="n">
        <v>752</v>
      </c>
      <c r="C363" s="45" t="s">
        <v>429</v>
      </c>
    </row>
    <row r="364" s="39" customFormat="1" ht="22" customHeight="1" hidden="1">
      <c r="A364" s="19" t="s">
        <v>361</v>
      </c>
      <c r="B364" s="19" t="n">
        <v>752</v>
      </c>
      <c r="C364" s="45" t="s">
        <v>429</v>
      </c>
    </row>
    <row r="365" s="39" customFormat="1" ht="22" customHeight="1" hidden="1">
      <c r="A365" s="19" t="s">
        <v>362</v>
      </c>
      <c r="B365" s="19" t="n">
        <v>725</v>
      </c>
      <c r="C365" s="45" t="s">
        <v>431</v>
      </c>
    </row>
    <row r="366" s="39" customFormat="1" ht="22" customHeight="1" hidden="1">
      <c r="A366" s="19" t="s">
        <v>363</v>
      </c>
      <c r="B366" s="19" t="n">
        <v>724</v>
      </c>
      <c r="C366" s="45" t="s">
        <v>436</v>
      </c>
    </row>
    <row r="367" s="39" customFormat="1" ht="22" customHeight="1" hidden="1">
      <c r="A367" s="19" t="n">
        <v>4</v>
      </c>
      <c r="B367" s="19" t="n">
        <v>701</v>
      </c>
      <c r="C367" s="45" t="s">
        <v>436</v>
      </c>
    </row>
    <row r="368" s="39" customFormat="1" ht="22" customHeight="1" hidden="1">
      <c r="A368" s="19" t="s">
        <v>364</v>
      </c>
      <c r="B368" s="19" t="n">
        <v>701</v>
      </c>
      <c r="C368" s="45" t="s">
        <v>431</v>
      </c>
    </row>
    <row r="369" s="39" customFormat="1" ht="22" customHeight="1" hidden="1">
      <c r="A369" s="19" t="s">
        <v>365</v>
      </c>
      <c r="B369" s="19" t="n">
        <v>697</v>
      </c>
      <c r="C369" s="45" t="s">
        <v>431</v>
      </c>
    </row>
    <row r="370" s="39" customFormat="1" ht="22" customHeight="1" hidden="1">
      <c r="A370" s="19" t="s">
        <v>366</v>
      </c>
      <c r="B370" s="19" t="n">
        <v>697</v>
      </c>
      <c r="C370" s="45" t="s">
        <v>431</v>
      </c>
    </row>
    <row r="371" s="39" customFormat="1" ht="22" customHeight="1" hidden="1">
      <c r="A371" s="19" t="s">
        <v>367</v>
      </c>
      <c r="B371" s="19" t="n">
        <v>656</v>
      </c>
      <c r="C371" s="45" t="s">
        <v>431</v>
      </c>
    </row>
    <row r="372" s="39" customFormat="1" ht="22" customHeight="1" hidden="1">
      <c r="A372" s="19" t="s">
        <v>368</v>
      </c>
      <c r="B372" s="19" t="n">
        <v>653</v>
      </c>
      <c r="C372" s="45" t="s">
        <v>431</v>
      </c>
    </row>
    <row r="373" s="39" customFormat="1" ht="22" customHeight="1" hidden="1">
      <c r="A373" s="19" t="s">
        <v>369</v>
      </c>
      <c r="B373" s="19" t="n">
        <v>647</v>
      </c>
      <c r="C373" s="45" t="s">
        <v>433</v>
      </c>
    </row>
    <row r="374" s="39" customFormat="1" ht="22" customHeight="1" hidden="1">
      <c r="A374" s="19" t="s">
        <v>370</v>
      </c>
      <c r="B374" s="19" t="n">
        <v>644</v>
      </c>
      <c r="C374" s="45" t="s">
        <v>436</v>
      </c>
    </row>
    <row r="375" s="39" customFormat="1" ht="22" customHeight="1" hidden="1">
      <c r="A375" s="19" t="s">
        <v>371</v>
      </c>
      <c r="B375" s="19" t="n">
        <v>638</v>
      </c>
      <c r="C375" s="45" t="s">
        <v>431</v>
      </c>
    </row>
    <row r="376" s="39" customFormat="1" ht="22" customHeight="1" hidden="1">
      <c r="A376" s="19" t="s">
        <v>372</v>
      </c>
      <c r="B376" s="19" t="n">
        <v>638</v>
      </c>
      <c r="C376" s="45" t="s">
        <v>431</v>
      </c>
    </row>
    <row r="377" s="39" customFormat="1" ht="22" customHeight="1" hidden="1">
      <c r="A377" s="19" t="s">
        <v>373</v>
      </c>
      <c r="B377" s="19" t="n">
        <v>626</v>
      </c>
      <c r="C377" s="45" t="s">
        <v>436</v>
      </c>
    </row>
    <row r="378" s="39" customFormat="1" ht="22" customHeight="1" hidden="1">
      <c r="A378" s="19" t="s">
        <v>374</v>
      </c>
      <c r="B378" s="19" t="n">
        <v>623</v>
      </c>
      <c r="C378" s="45" t="s">
        <v>436</v>
      </c>
    </row>
    <row r="379" s="39" customFormat="1" ht="22" customHeight="1" hidden="1">
      <c r="A379" s="19" t="s">
        <v>375</v>
      </c>
      <c r="B379" s="19" t="n">
        <v>612</v>
      </c>
      <c r="C379" s="45" t="s">
        <v>431</v>
      </c>
    </row>
    <row r="380" s="39" customFormat="1" ht="22" customHeight="1" hidden="1">
      <c r="A380" s="19" t="s">
        <v>376</v>
      </c>
      <c r="B380" s="19" t="n">
        <v>611</v>
      </c>
      <c r="C380" s="45" t="s">
        <v>431</v>
      </c>
    </row>
    <row r="381" s="39" customFormat="1" ht="22" customHeight="1" hidden="1">
      <c r="A381" s="19" t="s">
        <v>377</v>
      </c>
      <c r="B381" s="19" t="n">
        <v>611</v>
      </c>
      <c r="C381" s="45" t="s">
        <v>431</v>
      </c>
    </row>
  </sheetData>
  <autoFilter ref="A1:C494">
    <filterColumn colId="2">
      <customFilters>
        <customFilter operator="equal" val="属性需求"/>
      </customFilters>
    </filterColumn>
  </autoFilter>
  <phoneticPr fontId="1" type="noConversion"/>
  <dataValidations count="1">
    <dataValidation type="list" allowBlank="1" showErrorMessage="1" sqref="C2:C381">
      <formula1>"属性需求,人群需求,风格需求,场景需求,功能功效,品牌需求,其他定制需求,品类需求"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13.998046875" defaultRowHeight="12.75" customHeight="1"/>
  <cols>
    <col min="1" max="1" width="15.9990234375" customWidth="1" style="5"/>
    <col min="2" max="2" width="10.998046875" customWidth="1" style="5"/>
    <col min="3" max="3" width="15" customWidth="1" style="5"/>
    <col min="4" max="20" width="10.998046875" customWidth="1" style="5"/>
  </cols>
  <sheetData>
    <row r="1" ht="17" customHeight="1">
      <c r="A1" s="6" t="s">
        <v>437</v>
      </c>
      <c r="B1" s="6" t="s">
        <v>438</v>
      </c>
      <c r="C1" s="7" t="s">
        <v>439</v>
      </c>
      <c r="D1" s="8" t="s">
        <v>440</v>
      </c>
      <c r="E1" s="8"/>
      <c r="F1" s="8"/>
      <c r="G1" s="8"/>
      <c r="H1" s="8"/>
      <c r="I1" s="8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ht="17" customHeight="1">
      <c r="A2" s="6" t="s">
        <v>429</v>
      </c>
      <c r="B2" s="6" t="n">
        <f>SUMIF('关键词需求归类'!C:C,A2,'关键词需求归类'!B:B)</f>
        <v>21183164</v>
      </c>
      <c r="C2" s="9" t="n">
        <f>B2/SUM($B$2:$B$9)</f>
        <v>0.506168031336058</v>
      </c>
      <c r="D2" s="10" t="s">
        <v>441</v>
      </c>
      <c r="E2" s="10"/>
      <c r="F2" s="10"/>
      <c r="G2" s="10"/>
      <c r="H2" s="10"/>
      <c r="I2" s="10"/>
      <c r="J2" s="30"/>
      <c r="K2" s="30"/>
      <c r="L2" s="30"/>
      <c r="M2" s="30"/>
      <c r="N2" s="30"/>
      <c r="O2" s="30"/>
      <c r="P2" s="31"/>
      <c r="Q2" s="30"/>
      <c r="R2" s="35"/>
      <c r="S2" s="30"/>
      <c r="T2" s="30"/>
    </row>
    <row r="3" ht="17" customHeight="1">
      <c r="A3" s="6" t="s">
        <v>430</v>
      </c>
      <c r="B3" s="6" t="n">
        <f>SUMIF('关键词需求归类'!C:C,A3,'关键词需求归类'!B:B)</f>
        <v>9259517</v>
      </c>
      <c r="C3" s="9" t="n">
        <f>B3/SUM($B$2:$B$9)</f>
        <v>0.221254553428032</v>
      </c>
      <c r="D3" s="10"/>
      <c r="E3" s="10"/>
      <c r="F3" s="10"/>
      <c r="G3" s="10"/>
      <c r="H3" s="10"/>
      <c r="I3" s="10"/>
      <c r="J3" s="30"/>
      <c r="K3" s="30"/>
      <c r="L3" s="30"/>
      <c r="M3" s="30"/>
      <c r="N3" s="30"/>
      <c r="O3" s="30"/>
      <c r="P3" s="31"/>
      <c r="Q3" s="30"/>
      <c r="R3" s="35"/>
      <c r="S3" s="30"/>
      <c r="T3" s="30"/>
    </row>
    <row r="4" ht="17" customHeight="1">
      <c r="A4" s="6" t="s">
        <v>432</v>
      </c>
      <c r="B4" s="6" t="n">
        <f>SUMIF('关键词需求归类'!C:C,A4,'关键词需求归类'!B:B)</f>
        <v>3167833</v>
      </c>
      <c r="C4" s="9" t="n">
        <f>B4/SUM($B$2:$B$9)</f>
        <v>0.0756948203399359</v>
      </c>
      <c r="D4" s="10"/>
      <c r="E4" s="10"/>
      <c r="F4" s="10"/>
      <c r="G4" s="10"/>
      <c r="H4" s="10"/>
      <c r="I4" s="10"/>
      <c r="J4" s="30"/>
      <c r="K4" s="30"/>
      <c r="L4" s="30"/>
      <c r="M4" s="30"/>
      <c r="N4" s="30"/>
      <c r="O4" s="30"/>
      <c r="P4" s="31"/>
      <c r="Q4" s="30"/>
      <c r="R4" s="35"/>
      <c r="S4" s="30"/>
      <c r="T4" s="30"/>
    </row>
    <row r="5" ht="17" customHeight="1">
      <c r="A5" s="6" t="s">
        <v>433</v>
      </c>
      <c r="B5" s="6" t="n">
        <f>SUMIF('关键词需求归类'!C:C,A5,'关键词需求归类'!B:B)</f>
        <v>3594445</v>
      </c>
      <c r="C5" s="9" t="n">
        <f>B5/SUM($B$2:$B$9)</f>
        <v>0.0858886401198488</v>
      </c>
      <c r="D5" s="10"/>
      <c r="E5" s="10"/>
      <c r="F5" s="10"/>
      <c r="G5" s="10"/>
      <c r="H5" s="10"/>
      <c r="I5" s="10"/>
      <c r="J5" s="30"/>
      <c r="K5" s="30"/>
      <c r="L5" s="30"/>
      <c r="M5" s="30"/>
      <c r="N5" s="30"/>
      <c r="O5" s="30"/>
      <c r="P5" s="30"/>
      <c r="Q5" s="30"/>
      <c r="R5" s="35"/>
      <c r="S5" s="30"/>
      <c r="T5" s="30"/>
    </row>
    <row r="6" ht="17" customHeight="1">
      <c r="A6" s="6" t="s">
        <v>435</v>
      </c>
      <c r="B6" s="6" t="n">
        <f>SUMIF('关键词需求归类'!C:C,A6,'关键词需求归类'!B:B)</f>
        <v>284400</v>
      </c>
      <c r="C6" s="9" t="n">
        <f>B6/SUM($B$2:$B$9)</f>
        <v>0.00679568869466218</v>
      </c>
      <c r="D6" s="10"/>
      <c r="E6" s="10"/>
      <c r="F6" s="10"/>
      <c r="G6" s="10"/>
      <c r="H6" s="10"/>
      <c r="I6" s="10"/>
      <c r="J6" s="30"/>
      <c r="K6" s="30"/>
      <c r="L6" s="30"/>
      <c r="M6" s="30"/>
      <c r="N6" s="30"/>
      <c r="O6" s="30"/>
      <c r="P6" s="30"/>
      <c r="Q6" s="30"/>
      <c r="R6" s="35"/>
      <c r="S6" s="30"/>
      <c r="T6" s="30"/>
    </row>
    <row r="7" ht="17" customHeight="1">
      <c r="A7" s="6" t="s">
        <v>434</v>
      </c>
      <c r="B7" s="6" t="n">
        <f>SUMIF('关键词需求归类'!C:C,A7,'关键词需求归类'!B:B)</f>
        <v>787870</v>
      </c>
      <c r="C7" s="9" t="n">
        <f>B7/SUM($B$2:$B$9)</f>
        <v>0.0188260170599982</v>
      </c>
      <c r="D7" s="10"/>
      <c r="E7" s="10"/>
      <c r="F7" s="10"/>
      <c r="G7" s="10"/>
      <c r="H7" s="10"/>
      <c r="I7" s="10"/>
      <c r="J7" s="30"/>
      <c r="K7" s="30"/>
      <c r="L7" s="30"/>
      <c r="M7" s="30"/>
      <c r="N7" s="30"/>
      <c r="O7" s="30"/>
      <c r="P7" s="30"/>
      <c r="Q7" s="30"/>
      <c r="R7" s="35"/>
      <c r="S7" s="30"/>
      <c r="T7" s="30"/>
    </row>
    <row r="8" ht="17" customHeight="1">
      <c r="A8" s="6" t="s">
        <v>431</v>
      </c>
      <c r="B8" s="6" t="n">
        <f>SUMIF('关键词需求归类'!C:C,A8,'关键词需求归类'!B:B)</f>
        <v>3515318</v>
      </c>
      <c r="C8" s="9" t="n">
        <f>B8/SUM($B$2:$B$9)</f>
        <v>0.0839979141727935</v>
      </c>
      <c r="D8" s="10"/>
      <c r="E8" s="10"/>
      <c r="F8" s="10"/>
      <c r="G8" s="10"/>
      <c r="H8" s="10"/>
      <c r="I8" s="10"/>
      <c r="J8" s="30"/>
      <c r="K8" s="30"/>
      <c r="L8" s="30"/>
      <c r="M8" s="30"/>
      <c r="N8" s="30"/>
      <c r="O8" s="30"/>
      <c r="P8" s="30"/>
      <c r="Q8" s="30"/>
      <c r="R8" s="35"/>
      <c r="S8" s="30"/>
      <c r="T8" s="30"/>
    </row>
    <row r="9" ht="17" customHeight="1">
      <c r="A9" s="11" t="s">
        <v>436</v>
      </c>
      <c r="B9" s="6" t="n">
        <f>SUMIF('关键词需求归类'!C:C,A9,'关键词需求归类'!B:B)</f>
        <v>57516</v>
      </c>
      <c r="C9" s="9" t="n">
        <f>B9/SUM($B$2:$B$9)</f>
        <v>0.00137433484867155</v>
      </c>
      <c r="D9" s="10"/>
      <c r="E9" s="10"/>
      <c r="F9" s="10"/>
      <c r="G9" s="10"/>
      <c r="H9" s="10"/>
      <c r="I9" s="10"/>
      <c r="J9" s="30"/>
      <c r="K9" s="30"/>
      <c r="L9" s="30"/>
      <c r="M9" s="30"/>
      <c r="N9" s="30"/>
      <c r="O9" s="30"/>
      <c r="P9" s="30"/>
      <c r="Q9" s="30"/>
      <c r="R9" s="35"/>
      <c r="S9" s="30"/>
      <c r="T9" s="30"/>
    </row>
    <row r="10" ht="17" customHeight="1">
      <c r="A10" s="12"/>
      <c r="B10" s="12"/>
      <c r="C10" s="12"/>
      <c r="D10" s="13"/>
      <c r="E10" s="13"/>
      <c r="F10" s="13"/>
      <c r="G10" s="13"/>
      <c r="H10" s="13"/>
      <c r="I10" s="13"/>
      <c r="J10" s="12"/>
      <c r="K10" s="12"/>
      <c r="L10" s="12"/>
      <c r="M10" s="12"/>
      <c r="N10" s="12"/>
      <c r="O10" s="12"/>
      <c r="P10" s="30"/>
      <c r="Q10" s="30"/>
      <c r="R10" s="30"/>
      <c r="S10" s="30"/>
      <c r="T10" s="30"/>
    </row>
    <row r="11" ht="17" customHeight="1">
      <c r="A11" s="12" t="s">
        <v>437</v>
      </c>
      <c r="B11" s="12" t="s">
        <v>0</v>
      </c>
      <c r="C11" s="12" t="s">
        <v>438</v>
      </c>
      <c r="D11" s="12" t="s">
        <v>439</v>
      </c>
      <c r="E11" s="12" t="s">
        <v>440</v>
      </c>
      <c r="F11" s="12"/>
      <c r="G11" s="12"/>
      <c r="H11" s="12"/>
      <c r="I11" s="12" t="s">
        <v>437</v>
      </c>
      <c r="J11" s="12" t="s">
        <v>0</v>
      </c>
      <c r="K11" s="12" t="s">
        <v>438</v>
      </c>
      <c r="L11" s="12" t="s">
        <v>439</v>
      </c>
      <c r="M11" s="12" t="s">
        <v>440</v>
      </c>
      <c r="N11" s="12"/>
      <c r="O11" s="12"/>
      <c r="P11" s="30"/>
      <c r="Q11" s="30"/>
      <c r="R11" s="30"/>
      <c r="S11" s="30"/>
      <c r="T11" s="30"/>
    </row>
    <row r="12" ht="17" customHeight="1">
      <c r="A12" s="14" t="s">
        <v>442</v>
      </c>
      <c r="B12" s="15" t="s">
        <v>2</v>
      </c>
      <c r="C12" s="15" t="n">
        <v>12344300</v>
      </c>
      <c r="D12" s="16" t="n">
        <f>IFERROR(C12/SUM($C$12:$C$21),"")</f>
        <v>0.602272616387428</v>
      </c>
      <c r="E12" s="17" t="s">
        <v>443</v>
      </c>
      <c r="F12" s="17"/>
      <c r="G12" s="18"/>
      <c r="H12" s="12"/>
      <c r="I12" s="32" t="s">
        <v>444</v>
      </c>
      <c r="J12" s="15" t="s">
        <v>4</v>
      </c>
      <c r="K12" s="15" t="n">
        <v>1663700</v>
      </c>
      <c r="L12" s="16" t="n">
        <f>IFERROR(K12/SUM($K$12:$K$21),"")</f>
        <v>0.291897677029967</v>
      </c>
      <c r="M12" s="17" t="s">
        <v>445</v>
      </c>
      <c r="N12" s="17"/>
      <c r="O12" s="17"/>
      <c r="P12" s="30"/>
      <c r="Q12" s="30"/>
      <c r="R12" s="30"/>
      <c r="S12" s="30"/>
      <c r="T12" s="30"/>
    </row>
    <row r="13" ht="17" customHeight="1">
      <c r="A13" s="8"/>
      <c r="B13" s="19" t="s">
        <v>3</v>
      </c>
      <c r="C13" s="19" t="n">
        <v>5805400</v>
      </c>
      <c r="D13" s="20" t="n">
        <f>IFERROR(C13/SUM($C$12:$C$21),"")</f>
        <v>0.28324274743611</v>
      </c>
      <c r="E13" s="10"/>
      <c r="F13" s="10"/>
      <c r="G13" s="21"/>
      <c r="H13" s="12"/>
      <c r="I13" s="33"/>
      <c r="J13" s="19" t="s">
        <v>5</v>
      </c>
      <c r="K13" s="19" t="n">
        <v>1034200</v>
      </c>
      <c r="L13" s="20" t="n">
        <f>IFERROR(K13/SUM($K$12:$K$21),"")</f>
        <v>0.181451329917889</v>
      </c>
      <c r="M13" s="10"/>
      <c r="N13" s="10"/>
      <c r="O13" s="10"/>
      <c r="P13" s="30"/>
      <c r="Q13" s="30"/>
      <c r="R13" s="30"/>
      <c r="S13" s="30"/>
      <c r="T13" s="30"/>
    </row>
    <row r="14" ht="17" customHeight="1">
      <c r="A14" s="8"/>
      <c r="B14" s="19" t="s">
        <v>8</v>
      </c>
      <c r="C14" s="19" t="n">
        <v>563200</v>
      </c>
      <c r="D14" s="20" t="n">
        <f>IFERROR(C14/SUM($C$12:$C$21),"")</f>
        <v>0.0274782642636196</v>
      </c>
      <c r="E14" s="10"/>
      <c r="F14" s="10"/>
      <c r="G14" s="21"/>
      <c r="H14" s="12"/>
      <c r="I14" s="33"/>
      <c r="J14" s="19" t="s">
        <v>6</v>
      </c>
      <c r="K14" s="19" t="n">
        <v>754900</v>
      </c>
      <c r="L14" s="20" t="n">
        <f>IFERROR(K14/SUM($K$12:$K$21),"")</f>
        <v>0.132447891080076</v>
      </c>
      <c r="M14" s="10"/>
      <c r="N14" s="10"/>
      <c r="O14" s="10"/>
      <c r="P14" s="30"/>
      <c r="Q14" s="30"/>
      <c r="R14" s="30"/>
      <c r="S14" s="30"/>
      <c r="T14" s="30"/>
    </row>
    <row r="15" ht="17" customHeight="1">
      <c r="A15" s="8"/>
      <c r="B15" s="19" t="s">
        <v>10</v>
      </c>
      <c r="C15" s="19" t="n">
        <v>516000</v>
      </c>
      <c r="D15" s="20" t="n">
        <f>IFERROR(C15/SUM($C$12:$C$21),"")</f>
        <v>0.0251753983665265</v>
      </c>
      <c r="E15" s="10"/>
      <c r="F15" s="10"/>
      <c r="G15" s="21"/>
      <c r="H15" s="12"/>
      <c r="I15" s="33"/>
      <c r="J15" s="19" t="s">
        <v>11</v>
      </c>
      <c r="K15" s="19" t="n">
        <v>451500</v>
      </c>
      <c r="L15" s="20" t="n">
        <f>IFERROR(K15/SUM($K$12:$K$21),"")</f>
        <v>0.0792160853393221</v>
      </c>
      <c r="M15" s="10"/>
      <c r="N15" s="10"/>
      <c r="O15" s="10"/>
      <c r="P15" s="30"/>
      <c r="Q15" s="30"/>
      <c r="R15" s="30"/>
      <c r="S15" s="30"/>
      <c r="T15" s="30"/>
    </row>
    <row r="16" ht="17" customHeight="1">
      <c r="A16" s="8"/>
      <c r="B16" s="19" t="s">
        <v>17</v>
      </c>
      <c r="C16" s="19" t="n">
        <v>377100</v>
      </c>
      <c r="D16" s="20" t="n">
        <f>IFERROR(C16/SUM($C$12:$C$21),"")</f>
        <v>0.0183985324108859</v>
      </c>
      <c r="E16" s="10"/>
      <c r="F16" s="10"/>
      <c r="G16" s="21"/>
      <c r="H16" s="12"/>
      <c r="I16" s="33"/>
      <c r="J16" s="19" t="s">
        <v>19</v>
      </c>
      <c r="K16" s="19" t="n">
        <v>352200</v>
      </c>
      <c r="L16" s="20" t="n">
        <f>IFERROR(K16/SUM($K$12:$K$21),"")</f>
        <v>0.0617938100919363</v>
      </c>
      <c r="M16" s="10"/>
      <c r="N16" s="10"/>
      <c r="O16" s="10"/>
      <c r="P16" s="30"/>
      <c r="Q16" s="30"/>
      <c r="R16" s="30"/>
      <c r="S16" s="30"/>
      <c r="T16" s="30"/>
    </row>
    <row r="17" ht="17" customHeight="1">
      <c r="A17" s="8"/>
      <c r="B17" s="19" t="s">
        <v>36</v>
      </c>
      <c r="C17" s="19" t="n">
        <v>214500</v>
      </c>
      <c r="D17" s="20" t="n">
        <f>IFERROR(C17/SUM($C$12:$C$21),"")</f>
        <v>0.010465354553527</v>
      </c>
      <c r="E17" s="10"/>
      <c r="F17" s="10"/>
      <c r="G17" s="21"/>
      <c r="H17" s="12"/>
      <c r="I17" s="33"/>
      <c r="J17" s="19" t="s">
        <v>20</v>
      </c>
      <c r="K17" s="19" t="n">
        <v>339900</v>
      </c>
      <c r="L17" s="20" t="n">
        <f>IFERROR(K17/SUM($K$12:$K$21),"")</f>
        <v>0.0596357639132571</v>
      </c>
      <c r="M17" s="10"/>
      <c r="N17" s="10"/>
      <c r="O17" s="10"/>
      <c r="P17" s="30"/>
      <c r="Q17" s="30"/>
      <c r="R17" s="30"/>
      <c r="S17" s="30"/>
      <c r="T17" s="30"/>
    </row>
    <row r="18" ht="17" customHeight="1">
      <c r="A18" s="8"/>
      <c r="B18" s="19" t="s">
        <v>37</v>
      </c>
      <c r="C18" s="19" t="n">
        <v>207600</v>
      </c>
      <c r="D18" s="20" t="n">
        <f>IFERROR(C18/SUM($C$12:$C$21),"")</f>
        <v>0.0101287067846723</v>
      </c>
      <c r="E18" s="10"/>
      <c r="F18" s="10"/>
      <c r="G18" s="21"/>
      <c r="H18" s="12"/>
      <c r="I18" s="33"/>
      <c r="J18" s="19" t="s">
        <v>25</v>
      </c>
      <c r="K18" s="19" t="n">
        <v>295700</v>
      </c>
      <c r="L18" s="20" t="n">
        <f>IFERROR(K18/SUM($K$12:$K$21),"")</f>
        <v>0.0518808337427188</v>
      </c>
      <c r="M18" s="10"/>
      <c r="N18" s="10"/>
      <c r="O18" s="10"/>
      <c r="P18" s="30"/>
      <c r="Q18" s="30"/>
      <c r="R18" s="30"/>
      <c r="S18" s="30"/>
      <c r="T18" s="30"/>
    </row>
    <row r="19" ht="17" customHeight="1">
      <c r="A19" s="8"/>
      <c r="B19" s="19" t="s">
        <v>44</v>
      </c>
      <c r="C19" s="19" t="n">
        <v>165500</v>
      </c>
      <c r="D19" s="20" t="n">
        <f>IFERROR(C19/SUM($C$12:$C$21),"")</f>
        <v>0.00807466749934134</v>
      </c>
      <c r="E19" s="10"/>
      <c r="F19" s="10"/>
      <c r="G19" s="21"/>
      <c r="H19" s="12"/>
      <c r="I19" s="33"/>
      <c r="J19" s="19" t="s">
        <v>27</v>
      </c>
      <c r="K19" s="19" t="n">
        <v>285500</v>
      </c>
      <c r="L19" s="20" t="n">
        <f>IFERROR(K19/SUM($K$12:$K$21),"")</f>
        <v>0.0500912344725946</v>
      </c>
      <c r="M19" s="10"/>
      <c r="N19" s="10"/>
      <c r="O19" s="10"/>
      <c r="P19" s="30"/>
      <c r="Q19" s="30"/>
      <c r="R19" s="30"/>
      <c r="S19" s="30"/>
      <c r="T19" s="30"/>
    </row>
    <row r="20" ht="17" customHeight="1">
      <c r="A20" s="8"/>
      <c r="B20" s="19" t="s">
        <v>47</v>
      </c>
      <c r="C20" s="19" t="n">
        <v>152300</v>
      </c>
      <c r="D20" s="20" t="n">
        <f>IFERROR(C20/SUM($C$12:$C$21),"")</f>
        <v>0.00743064568066276</v>
      </c>
      <c r="E20" s="10"/>
      <c r="F20" s="10"/>
      <c r="G20" s="21"/>
      <c r="H20" s="12"/>
      <c r="I20" s="33"/>
      <c r="J20" s="19" t="s">
        <v>29</v>
      </c>
      <c r="K20" s="19" t="n">
        <v>261400</v>
      </c>
      <c r="L20" s="20" t="n">
        <f>IFERROR(K20/SUM($K$12:$K$21),"")</f>
        <v>0.045862867569654</v>
      </c>
      <c r="M20" s="10"/>
      <c r="N20" s="10"/>
      <c r="O20" s="10"/>
      <c r="P20" s="30"/>
      <c r="Q20" s="30"/>
      <c r="R20" s="30"/>
      <c r="S20" s="30"/>
      <c r="T20" s="30"/>
    </row>
    <row r="21" ht="17" customHeight="1">
      <c r="A21" s="8"/>
      <c r="B21" s="19" t="s">
        <v>48</v>
      </c>
      <c r="C21" s="19" t="n">
        <v>150300</v>
      </c>
      <c r="D21" s="20" t="n">
        <f>IFERROR(C21/SUM($C$12:$C$21),"")</f>
        <v>0.00733306661722661</v>
      </c>
      <c r="E21" s="10"/>
      <c r="F21" s="10"/>
      <c r="G21" s="21"/>
      <c r="H21" s="12"/>
      <c r="I21" s="33"/>
      <c r="J21" s="19" t="s">
        <v>30</v>
      </c>
      <c r="K21" s="19" t="n">
        <v>260600</v>
      </c>
      <c r="L21" s="20" t="n">
        <f>IFERROR(K21/SUM($K$12:$K$21),"")</f>
        <v>0.0457225068425854</v>
      </c>
      <c r="M21" s="10"/>
      <c r="N21" s="10"/>
      <c r="O21" s="10"/>
      <c r="P21" s="30"/>
      <c r="Q21" s="30"/>
      <c r="R21" s="30"/>
      <c r="S21" s="30"/>
      <c r="T21" s="30"/>
    </row>
    <row r="22" ht="17" customHeight="1">
      <c r="A22" s="8"/>
      <c r="B22" s="19" t="s">
        <v>54</v>
      </c>
      <c r="C22" s="19" t="n">
        <v>118400</v>
      </c>
      <c r="D22" s="20" t="n">
        <f>IFERROR(C22/SUM($C$12:$C$21),"")</f>
        <v>0.00577668055542003</v>
      </c>
      <c r="E22" s="10"/>
      <c r="F22" s="10"/>
      <c r="G22" s="21"/>
      <c r="H22" s="12"/>
      <c r="I22" s="33"/>
      <c r="J22" s="19" t="s">
        <v>31</v>
      </c>
      <c r="K22" s="19" t="n">
        <v>248900</v>
      </c>
      <c r="L22" s="20" t="n">
        <f>IFERROR(K22/SUM($K$12:$K$21),"")</f>
        <v>0.0436697312092077</v>
      </c>
      <c r="M22" s="10"/>
      <c r="N22" s="10"/>
      <c r="O22" s="10"/>
      <c r="P22" s="30"/>
      <c r="Q22" s="30"/>
      <c r="R22" s="30"/>
      <c r="S22" s="30"/>
      <c r="T22" s="30"/>
    </row>
    <row r="23" ht="17" customHeight="1">
      <c r="A23" s="8"/>
      <c r="B23" s="19" t="s">
        <v>62</v>
      </c>
      <c r="C23" s="19" t="n">
        <v>95200</v>
      </c>
      <c r="D23" s="20" t="n">
        <f>IFERROR(C23/SUM($C$12:$C$21),"")</f>
        <v>0.0046447634195607</v>
      </c>
      <c r="E23" s="10"/>
      <c r="F23" s="10"/>
      <c r="G23" s="21"/>
      <c r="H23" s="12"/>
      <c r="I23" s="33"/>
      <c r="J23" s="19" t="s">
        <v>34</v>
      </c>
      <c r="K23" s="19" t="n">
        <v>231600</v>
      </c>
      <c r="L23" s="20" t="n">
        <f>IFERROR(K23/SUM($K$12:$K$21),"")</f>
        <v>0.0406344304863499</v>
      </c>
      <c r="M23" s="10"/>
      <c r="N23" s="10"/>
      <c r="O23" s="10"/>
      <c r="P23" s="30"/>
      <c r="Q23" s="30"/>
      <c r="R23" s="30"/>
      <c r="S23" s="30"/>
      <c r="T23" s="30"/>
    </row>
    <row r="24" ht="17" customHeight="1">
      <c r="A24" s="8"/>
      <c r="B24" s="19" t="s">
        <v>72</v>
      </c>
      <c r="C24" s="19" t="n">
        <v>84000</v>
      </c>
      <c r="D24" s="20" t="n">
        <f>IFERROR(C24/SUM($C$12:$C$21),"")</f>
        <v>0.00409832066431826</v>
      </c>
      <c r="E24" s="10"/>
      <c r="F24" s="10"/>
      <c r="G24" s="21"/>
      <c r="H24" s="12"/>
      <c r="I24" s="33"/>
      <c r="J24" s="19" t="s">
        <v>38</v>
      </c>
      <c r="K24" s="19" t="n">
        <v>201300</v>
      </c>
      <c r="L24" s="20" t="n">
        <f>IFERROR(K24/SUM($K$12:$K$21),"")</f>
        <v>0.035318267948628</v>
      </c>
      <c r="M24" s="10"/>
      <c r="N24" s="10"/>
      <c r="O24" s="10"/>
      <c r="P24" s="30"/>
      <c r="Q24" s="30"/>
      <c r="R24" s="30"/>
      <c r="S24" s="30"/>
      <c r="T24" s="30"/>
    </row>
    <row r="25" ht="17" customHeight="1">
      <c r="A25" s="8"/>
      <c r="B25" s="19" t="s">
        <v>83</v>
      </c>
      <c r="C25" s="19" t="n">
        <v>68400</v>
      </c>
      <c r="D25" s="20" t="n">
        <f>IFERROR(C25/SUM($C$12:$C$21),"")</f>
        <v>0.0033372039695163</v>
      </c>
      <c r="E25" s="10"/>
      <c r="F25" s="10"/>
      <c r="G25" s="21"/>
      <c r="H25" s="12"/>
      <c r="I25" s="33"/>
      <c r="J25" s="19" t="s">
        <v>40</v>
      </c>
      <c r="K25" s="19" t="n">
        <v>192100</v>
      </c>
      <c r="L25" s="20" t="n">
        <f>IFERROR(K25/SUM($K$12:$K$21),"")</f>
        <v>0.0337041195873395</v>
      </c>
      <c r="M25" s="10"/>
      <c r="N25" s="10"/>
      <c r="O25" s="10"/>
      <c r="P25" s="30"/>
      <c r="Q25" s="30"/>
      <c r="R25" s="30"/>
      <c r="S25" s="30"/>
      <c r="T25" s="30"/>
    </row>
    <row r="26" ht="17" customHeight="1">
      <c r="A26" s="22"/>
      <c r="B26" s="19" t="s">
        <v>93</v>
      </c>
      <c r="C26" s="19" t="n">
        <v>60000</v>
      </c>
      <c r="D26" s="20" t="n">
        <f>IFERROR(C26/SUM($C$12:$C$21),"")</f>
        <v>0.00292737190308447</v>
      </c>
      <c r="E26" s="23"/>
      <c r="F26" s="23"/>
      <c r="G26" s="24"/>
      <c r="H26" s="12"/>
      <c r="I26" s="34"/>
      <c r="J26" s="19" t="s">
        <v>42</v>
      </c>
      <c r="K26" s="19" t="n">
        <v>174600</v>
      </c>
      <c r="L26" s="20" t="n">
        <f>IFERROR(K26/SUM($K$12:$K$21),"")</f>
        <v>0.0306337286827146</v>
      </c>
      <c r="M26" s="23"/>
      <c r="N26" s="23"/>
      <c r="O26" s="23"/>
      <c r="P26" s="30"/>
      <c r="Q26" s="30"/>
      <c r="R26" s="30"/>
      <c r="S26" s="30"/>
      <c r="T26" s="30"/>
    </row>
    <row r="27" ht="17" customHeight="1">
      <c r="A27" s="25"/>
      <c r="B27" s="26"/>
      <c r="C27" s="26"/>
      <c r="D27" s="26"/>
      <c r="E27" s="26"/>
      <c r="F27" s="26"/>
      <c r="G27" s="27"/>
      <c r="H27" s="12"/>
      <c r="I27" s="25"/>
      <c r="J27" s="26"/>
      <c r="K27" s="26"/>
      <c r="L27" s="26"/>
      <c r="M27" s="26"/>
      <c r="N27" s="26"/>
      <c r="O27" s="27"/>
      <c r="P27" s="30"/>
      <c r="Q27" s="30"/>
      <c r="R27" s="30"/>
      <c r="S27" s="30"/>
      <c r="T27" s="30"/>
    </row>
    <row r="28" ht="17" customHeight="1">
      <c r="A28" s="12" t="s">
        <v>437</v>
      </c>
      <c r="B28" s="12" t="s">
        <v>0</v>
      </c>
      <c r="C28" s="12" t="s">
        <v>438</v>
      </c>
      <c r="D28" s="12" t="s">
        <v>439</v>
      </c>
      <c r="E28" s="12" t="s">
        <v>440</v>
      </c>
      <c r="F28" s="12"/>
      <c r="G28" s="12"/>
      <c r="H28" s="12"/>
      <c r="I28" s="12" t="s">
        <v>437</v>
      </c>
      <c r="J28" s="12" t="s">
        <v>0</v>
      </c>
      <c r="K28" s="12" t="s">
        <v>438</v>
      </c>
      <c r="L28" s="12" t="s">
        <v>439</v>
      </c>
      <c r="M28" s="12" t="s">
        <v>440</v>
      </c>
      <c r="N28" s="12"/>
      <c r="O28" s="12"/>
      <c r="P28" s="30"/>
      <c r="Q28" s="30"/>
      <c r="R28" s="30"/>
      <c r="S28" s="30"/>
      <c r="T28" s="30"/>
    </row>
    <row r="29" ht="17" customHeight="1">
      <c r="A29" s="14" t="s">
        <v>446</v>
      </c>
      <c r="B29" s="15" t="s">
        <v>9</v>
      </c>
      <c r="C29" s="15" t="n">
        <v>545000</v>
      </c>
      <c r="D29" s="16" t="n">
        <f>IFERROR(C29/SUM($C$29:$C$38),"")</f>
        <v>0.186356642161053</v>
      </c>
      <c r="E29" s="17" t="s">
        <v>447</v>
      </c>
      <c r="F29" s="17"/>
      <c r="G29" s="18"/>
      <c r="H29" s="12"/>
      <c r="I29" s="32" t="s">
        <v>448</v>
      </c>
      <c r="J29" s="15" t="s">
        <v>15</v>
      </c>
      <c r="K29" s="15" t="n">
        <v>384600</v>
      </c>
      <c r="L29" s="16" t="n">
        <f>IFERROR(K29/SUM($K$29:$K$38),"")</f>
        <v>0.178833813819399</v>
      </c>
      <c r="M29" s="17" t="s">
        <v>449</v>
      </c>
      <c r="N29" s="17"/>
      <c r="O29" s="17"/>
      <c r="P29" s="30"/>
      <c r="Q29" s="30"/>
      <c r="R29" s="30"/>
      <c r="S29" s="30"/>
      <c r="T29" s="30"/>
    </row>
    <row r="30" ht="17" customHeight="1">
      <c r="A30" s="8"/>
      <c r="B30" s="19" t="s">
        <v>13</v>
      </c>
      <c r="C30" s="19" t="n">
        <v>401300</v>
      </c>
      <c r="D30" s="20" t="n">
        <f>IFERROR(C30/SUM($C$29:$C$38),"")</f>
        <v>0.137220037613267</v>
      </c>
      <c r="E30" s="10"/>
      <c r="F30" s="10"/>
      <c r="G30" s="21"/>
      <c r="H30" s="12"/>
      <c r="I30" s="33"/>
      <c r="J30" s="19" t="s">
        <v>18</v>
      </c>
      <c r="K30" s="19" t="n">
        <v>358100</v>
      </c>
      <c r="L30" s="20" t="n">
        <f>IFERROR(K30/SUM($K$29:$K$38),"")</f>
        <v>0.166511671161536</v>
      </c>
      <c r="M30" s="10"/>
      <c r="N30" s="10"/>
      <c r="O30" s="10"/>
      <c r="P30" s="30"/>
      <c r="Q30" s="30"/>
      <c r="R30" s="30"/>
      <c r="S30" s="30"/>
      <c r="T30" s="30"/>
    </row>
    <row r="31" ht="17" customHeight="1">
      <c r="A31" s="8"/>
      <c r="B31" s="19" t="s">
        <v>14</v>
      </c>
      <c r="C31" s="19" t="n">
        <v>400300</v>
      </c>
      <c r="D31" s="20" t="n">
        <f>IFERROR(C31/SUM($C$29:$C$38),"")</f>
        <v>0.136878098820311</v>
      </c>
      <c r="E31" s="10"/>
      <c r="F31" s="10"/>
      <c r="G31" s="21"/>
      <c r="H31" s="12"/>
      <c r="I31" s="33"/>
      <c r="J31" s="19" t="s">
        <v>24</v>
      </c>
      <c r="K31" s="19" t="n">
        <v>296100</v>
      </c>
      <c r="L31" s="20" t="n">
        <f>IFERROR(K31/SUM($K$29:$K$38),"")</f>
        <v>0.137682507207291</v>
      </c>
      <c r="M31" s="10"/>
      <c r="N31" s="10"/>
      <c r="O31" s="10"/>
      <c r="P31" s="30"/>
      <c r="Q31" s="30"/>
      <c r="R31" s="30"/>
      <c r="S31" s="30"/>
      <c r="T31" s="30"/>
    </row>
    <row r="32" ht="17" customHeight="1">
      <c r="A32" s="8"/>
      <c r="B32" s="19" t="s">
        <v>16</v>
      </c>
      <c r="C32" s="19" t="n">
        <v>381600</v>
      </c>
      <c r="D32" s="20" t="n">
        <f>IFERROR(C32/SUM($C$29:$C$38),"")</f>
        <v>0.130483843392033</v>
      </c>
      <c r="E32" s="10"/>
      <c r="F32" s="10"/>
      <c r="G32" s="21"/>
      <c r="H32" s="12"/>
      <c r="I32" s="33"/>
      <c r="J32" s="19" t="s">
        <v>32</v>
      </c>
      <c r="K32" s="19" t="n">
        <v>235400</v>
      </c>
      <c r="L32" s="20" t="n">
        <f>IFERROR(K32/SUM($K$29:$K$38),"")</f>
        <v>0.109457825723054</v>
      </c>
      <c r="M32" s="10"/>
      <c r="N32" s="10"/>
      <c r="O32" s="10"/>
      <c r="P32" s="30"/>
      <c r="Q32" s="30"/>
      <c r="R32" s="30"/>
      <c r="S32" s="30"/>
      <c r="T32" s="30"/>
    </row>
    <row r="33" ht="17" customHeight="1">
      <c r="A33" s="8"/>
      <c r="B33" s="19" t="s">
        <v>23</v>
      </c>
      <c r="C33" s="19" t="n">
        <v>296600</v>
      </c>
      <c r="D33" s="20" t="n">
        <f>IFERROR(C33/SUM($C$29:$C$38),"")</f>
        <v>0.101419045990768</v>
      </c>
      <c r="E33" s="10"/>
      <c r="F33" s="10"/>
      <c r="G33" s="21"/>
      <c r="H33" s="12"/>
      <c r="I33" s="33"/>
      <c r="J33" s="19" t="s">
        <v>39</v>
      </c>
      <c r="K33" s="19" t="n">
        <v>199700</v>
      </c>
      <c r="L33" s="20" t="n">
        <f>IFERROR(K33/SUM($K$29:$K$38),"")</f>
        <v>0.0928578071235934</v>
      </c>
      <c r="M33" s="10"/>
      <c r="N33" s="10"/>
      <c r="O33" s="10"/>
      <c r="P33" s="30"/>
      <c r="Q33" s="30"/>
      <c r="R33" s="30"/>
      <c r="S33" s="30"/>
      <c r="T33" s="30"/>
    </row>
    <row r="34" ht="17" customHeight="1">
      <c r="A34" s="8"/>
      <c r="B34" s="19" t="s">
        <v>26</v>
      </c>
      <c r="C34" s="19" t="n">
        <v>293500</v>
      </c>
      <c r="D34" s="20" t="n">
        <f>IFERROR(C34/SUM($C$29:$C$38),"")</f>
        <v>0.100359035732604</v>
      </c>
      <c r="E34" s="10"/>
      <c r="F34" s="10"/>
      <c r="G34" s="21"/>
      <c r="H34" s="12"/>
      <c r="I34" s="33"/>
      <c r="J34" s="19" t="s">
        <v>43</v>
      </c>
      <c r="K34" s="19" t="n">
        <v>171900</v>
      </c>
      <c r="L34" s="20" t="n">
        <f>IFERROR(K34/SUM($K$29:$K$38),"")</f>
        <v>0.0799311819957221</v>
      </c>
      <c r="M34" s="10"/>
      <c r="N34" s="10"/>
      <c r="O34" s="10"/>
      <c r="P34" s="30"/>
      <c r="Q34" s="30"/>
      <c r="R34" s="30"/>
      <c r="S34" s="30"/>
      <c r="T34" s="30"/>
    </row>
    <row r="35" ht="17" customHeight="1">
      <c r="A35" s="8"/>
      <c r="B35" s="19" t="s">
        <v>33</v>
      </c>
      <c r="C35" s="19" t="n">
        <v>234800</v>
      </c>
      <c r="D35" s="20" t="n">
        <f>IFERROR(C35/SUM($C$29:$C$38),"")</f>
        <v>0.0802872285860831</v>
      </c>
      <c r="E35" s="10"/>
      <c r="F35" s="10"/>
      <c r="G35" s="21"/>
      <c r="H35" s="12"/>
      <c r="I35" s="33"/>
      <c r="J35" s="19" t="s">
        <v>46</v>
      </c>
      <c r="K35" s="19" t="n">
        <v>163600</v>
      </c>
      <c r="L35" s="20" t="n">
        <f>IFERROR(K35/SUM($K$29:$K$38),"")</f>
        <v>0.0760717939179764</v>
      </c>
      <c r="M35" s="10"/>
      <c r="N35" s="10"/>
      <c r="O35" s="10"/>
      <c r="P35" s="30"/>
      <c r="Q35" s="30"/>
      <c r="R35" s="30"/>
      <c r="S35" s="30"/>
      <c r="T35" s="30"/>
    </row>
    <row r="36" ht="17" customHeight="1">
      <c r="A36" s="8"/>
      <c r="B36" s="19" t="s">
        <v>35</v>
      </c>
      <c r="C36" s="19" t="n">
        <v>217300</v>
      </c>
      <c r="D36" s="20" t="n">
        <f>IFERROR(C36/SUM($C$29:$C$38),"")</f>
        <v>0.074303299709352</v>
      </c>
      <c r="E36" s="10"/>
      <c r="F36" s="10"/>
      <c r="G36" s="21"/>
      <c r="H36" s="12"/>
      <c r="I36" s="33"/>
      <c r="J36" s="19" t="n">
        <v>2024</v>
      </c>
      <c r="K36" s="19" t="n">
        <v>149800</v>
      </c>
      <c r="L36" s="20" t="n">
        <f>IFERROR(K36/SUM($K$29:$K$38),"")</f>
        <v>0.0696549800055798</v>
      </c>
      <c r="M36" s="10"/>
      <c r="N36" s="10"/>
      <c r="O36" s="10"/>
      <c r="P36" s="30"/>
      <c r="Q36" s="30"/>
      <c r="R36" s="30"/>
      <c r="S36" s="30"/>
      <c r="T36" s="30"/>
    </row>
    <row r="37" ht="17" customHeight="1">
      <c r="A37" s="8"/>
      <c r="B37" s="19" t="s">
        <v>74</v>
      </c>
      <c r="C37" s="19" t="n">
        <v>80600</v>
      </c>
      <c r="D37" s="20" t="n">
        <f>IFERROR(C37/SUM($C$29:$C$38),"")</f>
        <v>0.0275602667122585</v>
      </c>
      <c r="E37" s="10"/>
      <c r="F37" s="10"/>
      <c r="G37" s="21"/>
      <c r="H37" s="12"/>
      <c r="I37" s="33"/>
      <c r="J37" s="19" t="s">
        <v>57</v>
      </c>
      <c r="K37" s="19" t="n">
        <v>102300</v>
      </c>
      <c r="L37" s="20" t="n">
        <f>IFERROR(K37/SUM($K$29:$K$38),"")</f>
        <v>0.0475681205245048</v>
      </c>
      <c r="M37" s="10"/>
      <c r="N37" s="10"/>
      <c r="O37" s="10"/>
      <c r="P37" s="30"/>
      <c r="Q37" s="30"/>
      <c r="R37" s="30"/>
      <c r="S37" s="30"/>
      <c r="T37" s="30"/>
    </row>
    <row r="38" ht="17" customHeight="1">
      <c r="A38" s="8"/>
      <c r="B38" s="19" t="s">
        <v>78</v>
      </c>
      <c r="C38" s="19" t="n">
        <v>73500</v>
      </c>
      <c r="D38" s="20" t="n">
        <f>IFERROR(C38/SUM($C$29:$C$38),"")</f>
        <v>0.0251325012822705</v>
      </c>
      <c r="E38" s="10"/>
      <c r="F38" s="10"/>
      <c r="G38" s="21"/>
      <c r="H38" s="12"/>
      <c r="I38" s="33"/>
      <c r="J38" s="19" t="s">
        <v>66</v>
      </c>
      <c r="K38" s="19" t="n">
        <v>89100</v>
      </c>
      <c r="L38" s="20" t="n">
        <f>IFERROR(K38/SUM($K$29:$K$38),"")</f>
        <v>0.0414302985213429</v>
      </c>
      <c r="M38" s="10"/>
      <c r="N38" s="10"/>
      <c r="O38" s="10"/>
      <c r="P38" s="30"/>
      <c r="Q38" s="30"/>
      <c r="R38" s="30"/>
      <c r="S38" s="30"/>
      <c r="T38" s="30"/>
    </row>
    <row r="39" ht="17" customHeight="1">
      <c r="A39" s="8"/>
      <c r="B39" s="19" t="s">
        <v>84</v>
      </c>
      <c r="C39" s="19" t="n">
        <v>67000</v>
      </c>
      <c r="D39" s="20" t="n">
        <f>IFERROR(C39/SUM($C$29:$C$38),"")</f>
        <v>0.0229098991280561</v>
      </c>
      <c r="E39" s="10"/>
      <c r="F39" s="10"/>
      <c r="G39" s="21"/>
      <c r="H39" s="12"/>
      <c r="I39" s="33"/>
      <c r="J39" s="19" t="s">
        <v>70</v>
      </c>
      <c r="K39" s="19" t="n">
        <v>86100</v>
      </c>
      <c r="L39" s="20" t="n">
        <f>IFERROR(K39/SUM($K$29:$K$38),"")</f>
        <v>0.0400353389751697</v>
      </c>
      <c r="M39" s="10"/>
      <c r="N39" s="10"/>
      <c r="O39" s="10"/>
      <c r="P39" s="30"/>
      <c r="Q39" s="30"/>
      <c r="R39" s="30"/>
      <c r="S39" s="30"/>
      <c r="T39" s="30"/>
    </row>
    <row r="40" ht="17" customHeight="1">
      <c r="A40" s="8"/>
      <c r="B40" s="19" t="s">
        <v>86</v>
      </c>
      <c r="C40" s="19" t="n">
        <v>64900</v>
      </c>
      <c r="D40" s="20" t="n">
        <f>IFERROR(C40/SUM($C$29:$C$38),"")</f>
        <v>0.0221918276628484</v>
      </c>
      <c r="E40" s="10"/>
      <c r="F40" s="10"/>
      <c r="G40" s="21"/>
      <c r="H40" s="12"/>
      <c r="I40" s="33"/>
      <c r="J40" s="19" t="s">
        <v>77</v>
      </c>
      <c r="K40" s="19" t="n">
        <v>75000</v>
      </c>
      <c r="L40" s="20" t="n">
        <f>IFERROR(K40/SUM($K$29:$K$38),"")</f>
        <v>0.034873988654329</v>
      </c>
      <c r="M40" s="10"/>
      <c r="N40" s="10"/>
      <c r="O40" s="10"/>
      <c r="P40" s="30"/>
      <c r="Q40" s="30"/>
      <c r="R40" s="30"/>
      <c r="S40" s="30"/>
      <c r="T40" s="30"/>
    </row>
    <row r="41" ht="17" customHeight="1">
      <c r="A41" s="8"/>
      <c r="B41" s="19" t="s">
        <v>127</v>
      </c>
      <c r="C41" s="19" t="n">
        <v>28900</v>
      </c>
      <c r="D41" s="20" t="n">
        <f>IFERROR(C41/SUM($C$29:$C$38),"")</f>
        <v>0.00988203111643016</v>
      </c>
      <c r="E41" s="10"/>
      <c r="F41" s="10"/>
      <c r="G41" s="21"/>
      <c r="H41" s="12"/>
      <c r="I41" s="33"/>
      <c r="J41" s="19" t="s">
        <v>79</v>
      </c>
      <c r="K41" s="19" t="n">
        <v>70000</v>
      </c>
      <c r="L41" s="20" t="n">
        <f>IFERROR(K41/SUM($K$29:$K$38),"")</f>
        <v>0.0325490560773738</v>
      </c>
      <c r="M41" s="10"/>
      <c r="N41" s="10"/>
      <c r="O41" s="10"/>
      <c r="P41" s="30"/>
      <c r="Q41" s="30"/>
      <c r="R41" s="30"/>
      <c r="S41" s="30"/>
      <c r="T41" s="30"/>
    </row>
    <row r="42" ht="17" customHeight="1">
      <c r="A42" s="8"/>
      <c r="B42" s="19" t="s">
        <v>151</v>
      </c>
      <c r="C42" s="19" t="n">
        <v>20600</v>
      </c>
      <c r="D42" s="20" t="n">
        <f>IFERROR(C42/SUM($C$29:$C$38),"")</f>
        <v>0.00704393913489485</v>
      </c>
      <c r="E42" s="10"/>
      <c r="F42" s="10"/>
      <c r="G42" s="21"/>
      <c r="H42" s="12"/>
      <c r="I42" s="33"/>
      <c r="J42" s="19" t="s">
        <v>81</v>
      </c>
      <c r="K42" s="19" t="n">
        <v>69500</v>
      </c>
      <c r="L42" s="20" t="n">
        <f>IFERROR(K42/SUM($K$29:$K$38),"")</f>
        <v>0.0323165628196782</v>
      </c>
      <c r="M42" s="10"/>
      <c r="N42" s="10"/>
      <c r="O42" s="10"/>
      <c r="P42" s="30"/>
      <c r="Q42" s="30"/>
      <c r="R42" s="30"/>
      <c r="S42" s="30"/>
      <c r="T42" s="30"/>
    </row>
    <row r="43" ht="17" customHeight="1">
      <c r="A43" s="22"/>
      <c r="B43" s="19" t="s">
        <v>173</v>
      </c>
      <c r="C43" s="19" t="n">
        <v>16000</v>
      </c>
      <c r="D43" s="20" t="n">
        <f>IFERROR(C43/SUM($C$29:$C$38),"")</f>
        <v>0.00547102068729697</v>
      </c>
      <c r="E43" s="23"/>
      <c r="F43" s="23"/>
      <c r="G43" s="24"/>
      <c r="H43" s="12"/>
      <c r="I43" s="34"/>
      <c r="J43" s="19" t="s">
        <v>82</v>
      </c>
      <c r="K43" s="19" t="n">
        <v>69400</v>
      </c>
      <c r="L43" s="20" t="n">
        <f>IFERROR(K43/SUM($K$29:$K$38),"")</f>
        <v>0.0322700641681391</v>
      </c>
      <c r="M43" s="23"/>
      <c r="N43" s="23"/>
      <c r="O43" s="23"/>
      <c r="P43" s="30"/>
      <c r="Q43" s="30"/>
      <c r="R43" s="30"/>
      <c r="S43" s="30"/>
      <c r="T43" s="30"/>
    </row>
    <row r="44" ht="17" customHeight="1">
      <c r="A44" s="25"/>
      <c r="B44" s="26"/>
      <c r="C44" s="26"/>
      <c r="D44" s="26"/>
      <c r="E44" s="26"/>
      <c r="F44" s="26"/>
      <c r="G44" s="27"/>
      <c r="H44" s="12"/>
      <c r="I44" s="25"/>
      <c r="J44" s="26"/>
      <c r="K44" s="26"/>
      <c r="L44" s="26"/>
      <c r="M44" s="26"/>
      <c r="N44" s="26"/>
      <c r="O44" s="27"/>
      <c r="P44" s="30"/>
      <c r="Q44" s="30"/>
      <c r="R44" s="30"/>
      <c r="S44" s="30"/>
      <c r="T44" s="30"/>
    </row>
    <row r="45" ht="17" customHeight="1">
      <c r="A45" s="12" t="s">
        <v>437</v>
      </c>
      <c r="B45" s="12" t="s">
        <v>0</v>
      </c>
      <c r="C45" s="12" t="s">
        <v>438</v>
      </c>
      <c r="D45" s="12" t="s">
        <v>439</v>
      </c>
      <c r="E45" s="12" t="s">
        <v>440</v>
      </c>
      <c r="F45" s="12"/>
      <c r="G45" s="12"/>
      <c r="H45" s="12"/>
      <c r="I45" s="12" t="s">
        <v>437</v>
      </c>
      <c r="J45" s="12" t="s">
        <v>0</v>
      </c>
      <c r="K45" s="12" t="s">
        <v>438</v>
      </c>
      <c r="L45" s="12" t="s">
        <v>439</v>
      </c>
      <c r="M45" s="12" t="s">
        <v>440</v>
      </c>
      <c r="N45" s="12"/>
      <c r="O45" s="12"/>
      <c r="P45" s="30"/>
      <c r="Q45" s="30"/>
      <c r="R45" s="30"/>
      <c r="S45" s="30"/>
      <c r="T45" s="30"/>
    </row>
    <row r="46" ht="17" customHeight="1">
      <c r="A46" s="12" t="s">
        <v>450</v>
      </c>
      <c r="B46" s="19" t="s">
        <v>98</v>
      </c>
      <c r="C46" s="19" t="n">
        <v>53100</v>
      </c>
      <c r="D46" s="28" t="n">
        <f>IFERROR(C46/SUM($C$46:$C$57),"")</f>
        <v>0.186708860759494</v>
      </c>
      <c r="E46" s="29" t="s">
        <v>451</v>
      </c>
      <c r="F46" s="29"/>
      <c r="G46" s="29"/>
      <c r="H46" s="12"/>
      <c r="I46" s="12" t="s">
        <v>452</v>
      </c>
      <c r="J46" s="19" t="s">
        <v>28</v>
      </c>
      <c r="K46" s="19" t="n">
        <v>271600</v>
      </c>
      <c r="L46" s="28" t="n">
        <f>IFERROR(K46/SUM($K$46:$K$57),"")</f>
        <v>0.378483835005574</v>
      </c>
      <c r="M46" s="29" t="s">
        <v>453</v>
      </c>
      <c r="N46" s="29"/>
      <c r="O46" s="29"/>
      <c r="P46" s="30"/>
      <c r="Q46" s="30"/>
      <c r="R46" s="30"/>
      <c r="S46" s="30"/>
      <c r="T46" s="30"/>
    </row>
    <row r="47" ht="17" customHeight="1">
      <c r="A47" s="12"/>
      <c r="B47" s="19" t="s">
        <v>109</v>
      </c>
      <c r="C47" s="19" t="n">
        <v>46500</v>
      </c>
      <c r="D47" s="28" t="n">
        <f>IFERROR(C47/SUM($C$46:$C$57),"")</f>
        <v>0.163502109704641</v>
      </c>
      <c r="E47" s="29"/>
      <c r="F47" s="29"/>
      <c r="G47" s="29"/>
      <c r="H47" s="12"/>
      <c r="I47" s="12"/>
      <c r="J47" s="19" t="s">
        <v>55</v>
      </c>
      <c r="K47" s="19" t="n">
        <v>108500</v>
      </c>
      <c r="L47" s="28" t="n">
        <f>IFERROR(K47/SUM($K$46:$K$57),"")</f>
        <v>0.151198439241918</v>
      </c>
      <c r="M47" s="29"/>
      <c r="N47" s="29"/>
      <c r="O47" s="29"/>
      <c r="P47" s="30"/>
      <c r="Q47" s="30"/>
      <c r="R47" s="30"/>
      <c r="S47" s="30"/>
      <c r="T47" s="30"/>
    </row>
    <row r="48" ht="17" customHeight="1">
      <c r="A48" s="12"/>
      <c r="B48" s="19" t="s">
        <v>110</v>
      </c>
      <c r="C48" s="19" t="n">
        <v>45700</v>
      </c>
      <c r="D48" s="28" t="n">
        <f>IFERROR(C48/SUM($C$46:$C$57),"")</f>
        <v>0.160689170182841</v>
      </c>
      <c r="E48" s="29"/>
      <c r="F48" s="29"/>
      <c r="G48" s="29"/>
      <c r="H48" s="12"/>
      <c r="I48" s="12"/>
      <c r="J48" s="19" t="s">
        <v>64</v>
      </c>
      <c r="K48" s="19" t="n">
        <v>93000</v>
      </c>
      <c r="L48" s="28" t="n">
        <f>IFERROR(K48/SUM($K$46:$K$57),"")</f>
        <v>0.129598662207358</v>
      </c>
      <c r="M48" s="29"/>
      <c r="N48" s="29"/>
      <c r="O48" s="29"/>
      <c r="P48" s="30"/>
      <c r="Q48" s="30"/>
      <c r="R48" s="30"/>
      <c r="S48" s="30"/>
      <c r="T48" s="30"/>
    </row>
    <row r="49" ht="17" customHeight="1">
      <c r="A49" s="12"/>
      <c r="B49" s="19" t="s">
        <v>122</v>
      </c>
      <c r="C49" s="19" t="n">
        <v>33200</v>
      </c>
      <c r="D49" s="28" t="n">
        <f>IFERROR(C49/SUM($C$46:$C$57),"")</f>
        <v>0.116736990154712</v>
      </c>
      <c r="E49" s="29"/>
      <c r="F49" s="29"/>
      <c r="G49" s="29"/>
      <c r="H49" s="12"/>
      <c r="I49" s="12"/>
      <c r="J49" s="19" t="s">
        <v>80</v>
      </c>
      <c r="K49" s="19" t="n">
        <v>70000</v>
      </c>
      <c r="L49" s="28" t="n">
        <f>IFERROR(K49/SUM($K$46:$K$57),"")</f>
        <v>0.0975473801560758</v>
      </c>
      <c r="M49" s="29"/>
      <c r="N49" s="29"/>
      <c r="O49" s="29"/>
      <c r="P49" s="30"/>
      <c r="Q49" s="30"/>
      <c r="R49" s="30"/>
      <c r="S49" s="30"/>
      <c r="T49" s="30"/>
    </row>
    <row r="50" ht="17" customHeight="1">
      <c r="A50" s="12"/>
      <c r="B50" s="19" t="s">
        <v>131</v>
      </c>
      <c r="C50" s="19" t="n">
        <v>27900</v>
      </c>
      <c r="D50" s="28" t="n">
        <f>IFERROR(C50/SUM($C$46:$C$57),"")</f>
        <v>0.0981012658227848</v>
      </c>
      <c r="E50" s="29"/>
      <c r="F50" s="29"/>
      <c r="G50" s="29"/>
      <c r="H50" s="12"/>
      <c r="I50" s="12"/>
      <c r="J50" s="19" t="s">
        <v>106</v>
      </c>
      <c r="K50" s="19" t="n">
        <v>47800</v>
      </c>
      <c r="L50" s="28" t="n">
        <f>IFERROR(K50/SUM($K$46:$K$57),"")</f>
        <v>0.0666109253065775</v>
      </c>
      <c r="M50" s="29"/>
      <c r="N50" s="29"/>
      <c r="O50" s="29"/>
      <c r="P50" s="30"/>
      <c r="Q50" s="30"/>
      <c r="R50" s="30"/>
      <c r="S50" s="30"/>
      <c r="T50" s="30"/>
    </row>
    <row r="51" ht="17" customHeight="1">
      <c r="A51" s="12"/>
      <c r="B51" s="19" t="s">
        <v>164</v>
      </c>
      <c r="C51" s="19" t="n">
        <v>17300</v>
      </c>
      <c r="D51" s="28" t="n">
        <f>IFERROR(C51/SUM($C$46:$C$57),"")</f>
        <v>0.0608298171589311</v>
      </c>
      <c r="E51" s="29"/>
      <c r="F51" s="29"/>
      <c r="G51" s="29"/>
      <c r="H51" s="12"/>
      <c r="I51" s="12"/>
      <c r="J51" s="19" t="s">
        <v>128</v>
      </c>
      <c r="K51" s="19" t="n">
        <v>28300</v>
      </c>
      <c r="L51" s="28" t="n">
        <f>IFERROR(K51/SUM($K$46:$K$57),"")</f>
        <v>0.0394370122630992</v>
      </c>
      <c r="M51" s="29"/>
      <c r="N51" s="29"/>
      <c r="O51" s="29"/>
      <c r="P51" s="30"/>
      <c r="Q51" s="30"/>
      <c r="R51" s="30"/>
      <c r="S51" s="30"/>
      <c r="T51" s="30"/>
    </row>
    <row r="52" ht="17" customHeight="1">
      <c r="A52" s="12"/>
      <c r="B52" s="19" t="s">
        <v>169</v>
      </c>
      <c r="C52" s="19" t="n">
        <v>16600</v>
      </c>
      <c r="D52" s="28" t="n">
        <f>IFERROR(C52/SUM($C$46:$C$57),"")</f>
        <v>0.0583684950773558</v>
      </c>
      <c r="E52" s="29"/>
      <c r="F52" s="29"/>
      <c r="G52" s="29"/>
      <c r="H52" s="12"/>
      <c r="I52" s="12"/>
      <c r="J52" s="19" t="s">
        <v>132</v>
      </c>
      <c r="K52" s="19" t="n">
        <v>26900</v>
      </c>
      <c r="L52" s="28" t="n">
        <f>IFERROR(K52/SUM($K$46:$K$57),"")</f>
        <v>0.0374860646599777</v>
      </c>
      <c r="M52" s="29"/>
      <c r="N52" s="29"/>
      <c r="O52" s="29"/>
      <c r="P52" s="30"/>
      <c r="Q52" s="30"/>
      <c r="R52" s="30"/>
      <c r="S52" s="30"/>
      <c r="T52" s="30"/>
    </row>
    <row r="53" ht="17" customHeight="1">
      <c r="A53" s="12"/>
      <c r="B53" s="19" t="s">
        <v>171</v>
      </c>
      <c r="C53" s="19" t="n">
        <v>16600</v>
      </c>
      <c r="D53" s="28" t="n">
        <f>IFERROR(C53/SUM($C$46:$C$57),"")</f>
        <v>0.0583684950773558</v>
      </c>
      <c r="E53" s="29"/>
      <c r="F53" s="29"/>
      <c r="G53" s="29"/>
      <c r="H53" s="12"/>
      <c r="I53" s="12"/>
      <c r="J53" s="19" t="s">
        <v>152</v>
      </c>
      <c r="K53" s="19" t="n">
        <v>20400</v>
      </c>
      <c r="L53" s="28" t="n">
        <f>IFERROR(K53/SUM($K$46:$K$57),"")</f>
        <v>0.0284280936454849</v>
      </c>
      <c r="M53" s="29"/>
      <c r="N53" s="29"/>
      <c r="O53" s="29"/>
      <c r="P53" s="30"/>
      <c r="Q53" s="30"/>
      <c r="R53" s="30"/>
      <c r="S53" s="30"/>
      <c r="T53" s="30"/>
    </row>
    <row r="54" ht="17" customHeight="1">
      <c r="A54" s="12"/>
      <c r="B54" s="19" t="s">
        <v>185</v>
      </c>
      <c r="C54" s="19" t="n">
        <v>14200</v>
      </c>
      <c r="D54" s="28" t="n">
        <f>IFERROR(C54/SUM($C$46:$C$57),"")</f>
        <v>0.049929676511955</v>
      </c>
      <c r="E54" s="29"/>
      <c r="F54" s="29"/>
      <c r="G54" s="29"/>
      <c r="H54" s="12"/>
      <c r="I54" s="12"/>
      <c r="J54" s="19" t="s">
        <v>161</v>
      </c>
      <c r="K54" s="19" t="n">
        <v>17900</v>
      </c>
      <c r="L54" s="28" t="n">
        <f>IFERROR(K54/SUM($K$46:$K$57),"")</f>
        <v>0.0249442586399108</v>
      </c>
      <c r="M54" s="29"/>
      <c r="N54" s="29"/>
      <c r="O54" s="29"/>
      <c r="P54" s="30"/>
      <c r="Q54" s="30"/>
      <c r="R54" s="30"/>
      <c r="S54" s="30"/>
      <c r="T54" s="30"/>
    </row>
    <row r="55" ht="17" customHeight="1">
      <c r="A55" s="12"/>
      <c r="B55" s="19" t="s">
        <v>188</v>
      </c>
      <c r="C55" s="19" t="n">
        <v>13300</v>
      </c>
      <c r="D55" s="28" t="n">
        <f>IFERROR(C55/SUM($C$46:$C$57),"")</f>
        <v>0.0467651195499297</v>
      </c>
      <c r="E55" s="29"/>
      <c r="F55" s="29"/>
      <c r="G55" s="29"/>
      <c r="H55" s="12"/>
      <c r="I55" s="12"/>
      <c r="J55" s="19" t="s">
        <v>200</v>
      </c>
      <c r="K55" s="19" t="n">
        <v>11100</v>
      </c>
      <c r="L55" s="28" t="n">
        <f>IFERROR(K55/SUM($K$46:$K$57),"")</f>
        <v>0.0154682274247492</v>
      </c>
      <c r="M55" s="29"/>
      <c r="N55" s="29"/>
      <c r="O55" s="29"/>
      <c r="P55" s="30"/>
      <c r="Q55" s="30"/>
      <c r="R55" s="30"/>
      <c r="S55" s="30"/>
      <c r="T55" s="30"/>
    </row>
    <row r="56" ht="17" customHeight="1">
      <c r="A56" s="12"/>
      <c r="B56" s="19"/>
      <c r="C56" s="19"/>
      <c r="D56" s="28"/>
      <c r="E56" s="29"/>
      <c r="F56" s="29"/>
      <c r="G56" s="29"/>
      <c r="H56" s="12"/>
      <c r="I56" s="12"/>
      <c r="J56" s="19" t="s">
        <v>201</v>
      </c>
      <c r="K56" s="19" t="n">
        <v>11100</v>
      </c>
      <c r="L56" s="28" t="n">
        <f>IFERROR(K56/SUM($K$46:$K$57),"")</f>
        <v>0.0154682274247492</v>
      </c>
      <c r="M56" s="29"/>
      <c r="N56" s="29"/>
      <c r="O56" s="29"/>
      <c r="P56" s="30"/>
      <c r="Q56" s="30"/>
      <c r="R56" s="30"/>
      <c r="S56" s="30"/>
      <c r="T56" s="30"/>
    </row>
    <row r="57" ht="17" customHeight="1">
      <c r="A57" s="12"/>
      <c r="B57" s="19"/>
      <c r="C57" s="19"/>
      <c r="D57" s="28"/>
      <c r="E57" s="29"/>
      <c r="F57" s="29"/>
      <c r="G57" s="29"/>
      <c r="H57" s="12"/>
      <c r="I57" s="12"/>
      <c r="J57" s="19" t="s">
        <v>203</v>
      </c>
      <c r="K57" s="19" t="n">
        <v>11000</v>
      </c>
      <c r="L57" s="28" t="n">
        <f>IFERROR(K57/SUM($K$46:$K$57),"")</f>
        <v>0.0153288740245262</v>
      </c>
      <c r="M57" s="29"/>
      <c r="N57" s="29"/>
      <c r="O57" s="29"/>
      <c r="P57" s="30"/>
      <c r="Q57" s="30"/>
      <c r="R57" s="30"/>
      <c r="S57" s="30"/>
      <c r="T57" s="30"/>
    </row>
    <row r="58" ht="17" customHeight="1">
      <c r="A58" s="25"/>
      <c r="B58" s="26"/>
      <c r="C58" s="26"/>
      <c r="D58" s="26"/>
      <c r="E58" s="26"/>
      <c r="F58" s="26"/>
      <c r="G58" s="27"/>
      <c r="H58" s="12"/>
      <c r="I58" s="25"/>
      <c r="J58" s="26"/>
      <c r="K58" s="26"/>
      <c r="L58" s="26"/>
      <c r="M58" s="26"/>
      <c r="N58" s="26"/>
      <c r="O58" s="27"/>
      <c r="P58" s="30"/>
      <c r="Q58" s="30"/>
      <c r="R58" s="30"/>
      <c r="S58" s="30"/>
      <c r="T58" s="30"/>
    </row>
    <row r="59" ht="17" customHeight="1">
      <c r="A59" s="12" t="s">
        <v>437</v>
      </c>
      <c r="B59" s="12" t="s">
        <v>0</v>
      </c>
      <c r="C59" s="12" t="s">
        <v>438</v>
      </c>
      <c r="D59" s="12" t="s">
        <v>439</v>
      </c>
      <c r="E59" s="12" t="s">
        <v>440</v>
      </c>
      <c r="F59" s="12"/>
      <c r="G59" s="12"/>
      <c r="H59" s="12"/>
      <c r="I59" s="12" t="s">
        <v>437</v>
      </c>
      <c r="J59" s="12" t="s">
        <v>0</v>
      </c>
      <c r="K59" s="12" t="s">
        <v>438</v>
      </c>
      <c r="L59" s="12" t="s">
        <v>439</v>
      </c>
      <c r="M59" s="12" t="s">
        <v>440</v>
      </c>
      <c r="N59" s="12"/>
      <c r="O59" s="12"/>
      <c r="P59" s="30"/>
      <c r="Q59" s="30"/>
      <c r="R59" s="30"/>
      <c r="S59" s="30"/>
      <c r="T59" s="30"/>
    </row>
    <row r="60" ht="17" customHeight="1">
      <c r="A60" s="12" t="s">
        <v>454</v>
      </c>
      <c r="B60" s="19" t="s">
        <v>7</v>
      </c>
      <c r="C60" s="19" t="n">
        <v>690500</v>
      </c>
      <c r="D60" s="28" t="n">
        <f>IFERROR(C60/SUM($C$60:$C$69),"")</f>
        <v>0.277833661932161</v>
      </c>
      <c r="E60" s="29" t="s">
        <v>451</v>
      </c>
      <c r="F60" s="29"/>
      <c r="G60" s="29"/>
      <c r="H60" s="12"/>
      <c r="I60" s="29" t="s">
        <v>455</v>
      </c>
      <c r="J60" s="19" t="s">
        <v>193</v>
      </c>
      <c r="K60" s="19" t="n">
        <v>12000</v>
      </c>
      <c r="L60" s="28" t="n">
        <f>IFERROR(K60/SUM($K$60:$K$69),"")</f>
        <v>0.262300815318368</v>
      </c>
      <c r="M60" s="29" t="s">
        <v>451</v>
      </c>
      <c r="N60" s="29"/>
      <c r="O60" s="29"/>
      <c r="P60" s="30"/>
      <c r="Q60" s="30"/>
      <c r="R60" s="30"/>
      <c r="S60" s="30"/>
      <c r="T60" s="30"/>
    </row>
    <row r="61" ht="13.5" customHeight="1">
      <c r="A61" s="12"/>
      <c r="B61" s="19" t="s">
        <v>12</v>
      </c>
      <c r="C61" s="19" t="n">
        <v>415400</v>
      </c>
      <c r="D61" s="28" t="n">
        <f>IFERROR(C61/SUM($C$60:$C$69),"")</f>
        <v>0.167142799662013</v>
      </c>
      <c r="E61" s="29"/>
      <c r="F61" s="29"/>
      <c r="G61" s="29"/>
      <c r="H61" s="12"/>
      <c r="I61" s="29"/>
      <c r="J61" s="19" t="s">
        <v>238</v>
      </c>
      <c r="K61" s="19" t="n">
        <v>6519</v>
      </c>
      <c r="L61" s="28" t="n">
        <f>IFERROR(K61/SUM($K$60:$K$69),"")</f>
        <v>0.142494917921703</v>
      </c>
      <c r="M61" s="29"/>
      <c r="N61" s="29"/>
      <c r="O61" s="29"/>
      <c r="P61" s="30"/>
      <c r="Q61" s="30"/>
      <c r="R61" s="30"/>
      <c r="S61" s="30"/>
      <c r="T61" s="30"/>
    </row>
    <row r="62" ht="13.5" customHeight="1">
      <c r="A62" s="12"/>
      <c r="B62" s="19" t="s">
        <v>21</v>
      </c>
      <c r="C62" s="19" t="n">
        <v>338800</v>
      </c>
      <c r="D62" s="28" t="n">
        <f>IFERROR(C62/SUM($C$60:$C$69),"")</f>
        <v>0.136321570836519</v>
      </c>
      <c r="E62" s="29"/>
      <c r="F62" s="29"/>
      <c r="G62" s="29"/>
      <c r="H62" s="12"/>
      <c r="I62" s="29"/>
      <c r="J62" s="19" t="s">
        <v>239</v>
      </c>
      <c r="K62" s="19" t="n">
        <v>6519</v>
      </c>
      <c r="L62" s="28" t="n">
        <f>IFERROR(K62/SUM($K$60:$K$69),"")</f>
        <v>0.142494917921703</v>
      </c>
      <c r="M62" s="29"/>
      <c r="N62" s="29"/>
      <c r="O62" s="29"/>
      <c r="P62" s="30"/>
      <c r="Q62" s="30"/>
      <c r="R62" s="30"/>
      <c r="S62" s="30"/>
      <c r="T62" s="30"/>
    </row>
    <row r="63" ht="13.5" customHeight="1">
      <c r="A63" s="12"/>
      <c r="B63" s="19" t="s">
        <v>22</v>
      </c>
      <c r="C63" s="19" t="n">
        <v>304200</v>
      </c>
      <c r="D63" s="28" t="n">
        <f>IFERROR(C63/SUM($C$60:$C$69),"")</f>
        <v>0.122399710296544</v>
      </c>
      <c r="E63" s="29"/>
      <c r="F63" s="29"/>
      <c r="G63" s="29"/>
      <c r="H63" s="12"/>
      <c r="I63" s="29"/>
      <c r="J63" s="19" t="s">
        <v>242</v>
      </c>
      <c r="K63" s="19" t="n">
        <v>6337</v>
      </c>
      <c r="L63" s="28" t="n">
        <f>IFERROR(K63/SUM($K$60:$K$69),"")</f>
        <v>0.138516688889375</v>
      </c>
      <c r="M63" s="29"/>
      <c r="N63" s="29"/>
      <c r="O63" s="29"/>
      <c r="P63" s="30"/>
      <c r="Q63" s="30"/>
      <c r="R63" s="30"/>
      <c r="S63" s="30"/>
      <c r="T63" s="30"/>
    </row>
    <row r="64" ht="13.5" customHeight="1">
      <c r="A64" s="12"/>
      <c r="B64" s="19" t="s">
        <v>41</v>
      </c>
      <c r="C64" s="19" t="n">
        <v>191500</v>
      </c>
      <c r="D64" s="28" t="n">
        <f>IFERROR(C64/SUM($C$60:$C$69),"")</f>
        <v>0.0770530720637348</v>
      </c>
      <c r="E64" s="29"/>
      <c r="F64" s="29"/>
      <c r="G64" s="29"/>
      <c r="H64" s="12"/>
      <c r="I64" s="29"/>
      <c r="J64" s="19" t="s">
        <v>265</v>
      </c>
      <c r="K64" s="19" t="n">
        <v>4218</v>
      </c>
      <c r="L64" s="28" t="n">
        <f>IFERROR(K64/SUM($K$60:$K$69),"")</f>
        <v>0.0921987365844062</v>
      </c>
      <c r="M64" s="29"/>
      <c r="N64" s="29"/>
      <c r="O64" s="29"/>
      <c r="P64" s="30"/>
      <c r="Q64" s="30"/>
      <c r="R64" s="30"/>
      <c r="S64" s="30"/>
      <c r="T64" s="30"/>
    </row>
    <row r="65" ht="13.5" customHeight="1">
      <c r="A65" s="12"/>
      <c r="B65" s="19" t="s">
        <v>49</v>
      </c>
      <c r="C65" s="19" t="n">
        <v>147000</v>
      </c>
      <c r="D65" s="28" t="n">
        <f>IFERROR(C65/SUM($C$60:$C$69),"")</f>
        <v>0.059147788999316</v>
      </c>
      <c r="E65" s="29"/>
      <c r="F65" s="29"/>
      <c r="G65" s="29"/>
      <c r="H65" s="12"/>
      <c r="I65" s="29"/>
      <c r="J65" s="19" t="s">
        <v>282</v>
      </c>
      <c r="K65" s="19" t="n">
        <v>2972</v>
      </c>
      <c r="L65" s="28" t="n">
        <f>IFERROR(K65/SUM($K$60:$K$69),"")</f>
        <v>0.064963168593849</v>
      </c>
      <c r="M65" s="29"/>
      <c r="N65" s="29"/>
      <c r="O65" s="29"/>
      <c r="P65" s="30"/>
      <c r="Q65" s="30"/>
      <c r="R65" s="30"/>
      <c r="S65" s="30"/>
      <c r="T65" s="30"/>
    </row>
    <row r="66" ht="13.5" customHeight="1">
      <c r="A66" s="12"/>
      <c r="B66" s="19" t="s">
        <v>53</v>
      </c>
      <c r="C66" s="19" t="n">
        <v>125800</v>
      </c>
      <c r="D66" s="28" t="n">
        <f>IFERROR(C66/SUM($C$60:$C$69),"")</f>
        <v>0.0506176316742446</v>
      </c>
      <c r="E66" s="29"/>
      <c r="F66" s="29"/>
      <c r="G66" s="29"/>
      <c r="H66" s="12"/>
      <c r="I66" s="29"/>
      <c r="J66" s="19" t="s">
        <v>295</v>
      </c>
      <c r="K66" s="19" t="n">
        <v>2281</v>
      </c>
      <c r="L66" s="28" t="n">
        <f>IFERROR(K66/SUM($K$60:$K$69),"")</f>
        <v>0.0498590133117664</v>
      </c>
      <c r="M66" s="29"/>
      <c r="N66" s="29"/>
      <c r="O66" s="29"/>
      <c r="P66" s="30"/>
      <c r="Q66" s="30"/>
      <c r="R66" s="30"/>
      <c r="S66" s="30"/>
      <c r="T66" s="30"/>
    </row>
    <row r="67" ht="13.5" customHeight="1">
      <c r="A67" s="12"/>
      <c r="B67" s="19" t="s">
        <v>59</v>
      </c>
      <c r="C67" s="19" t="n">
        <v>97100</v>
      </c>
      <c r="D67" s="28" t="n">
        <f>IFERROR(C67/SUM($C$60:$C$69),"")</f>
        <v>0.0390697300124733</v>
      </c>
      <c r="E67" s="29"/>
      <c r="F67" s="29"/>
      <c r="G67" s="29"/>
      <c r="H67" s="12"/>
      <c r="I67" s="29"/>
      <c r="J67" s="19" t="s">
        <v>303</v>
      </c>
      <c r="K67" s="19" t="n">
        <v>1962</v>
      </c>
      <c r="L67" s="28" t="n">
        <f>IFERROR(K67/SUM($K$60:$K$69),"")</f>
        <v>0.0428861833045531</v>
      </c>
      <c r="M67" s="29"/>
      <c r="N67" s="29"/>
      <c r="O67" s="29"/>
      <c r="P67" s="30"/>
      <c r="Q67" s="30"/>
      <c r="R67" s="30"/>
      <c r="S67" s="30"/>
      <c r="T67" s="30"/>
    </row>
    <row r="68" ht="13.5" customHeight="1">
      <c r="A68" s="12"/>
      <c r="B68" s="19" t="s">
        <v>68</v>
      </c>
      <c r="C68" s="19" t="n">
        <v>88600</v>
      </c>
      <c r="D68" s="28" t="n">
        <f>IFERROR(C68/SUM($C$60:$C$69),"")</f>
        <v>0.0356496197642136</v>
      </c>
      <c r="E68" s="29"/>
      <c r="F68" s="29"/>
      <c r="G68" s="29"/>
      <c r="H68" s="12"/>
      <c r="I68" s="29"/>
      <c r="J68" s="19" t="s">
        <v>310</v>
      </c>
      <c r="K68" s="19" t="n">
        <v>1774</v>
      </c>
      <c r="L68" s="28" t="n">
        <f>IFERROR(K68/SUM($K$60:$K$69),"")</f>
        <v>0.0387768038645654</v>
      </c>
      <c r="M68" s="29"/>
      <c r="N68" s="29"/>
      <c r="O68" s="29"/>
      <c r="P68" s="30"/>
      <c r="Q68" s="30"/>
      <c r="R68" s="30"/>
      <c r="S68" s="30"/>
      <c r="T68" s="30"/>
    </row>
    <row r="69" ht="13.5" customHeight="1">
      <c r="A69" s="12"/>
      <c r="B69" s="19" t="s">
        <v>69</v>
      </c>
      <c r="C69" s="19" t="n">
        <v>86400</v>
      </c>
      <c r="D69" s="28" t="n">
        <f>IFERROR(C69/SUM($C$60:$C$69),"")</f>
        <v>0.0347644147587816</v>
      </c>
      <c r="E69" s="29"/>
      <c r="F69" s="29"/>
      <c r="G69" s="29"/>
      <c r="H69" s="12"/>
      <c r="I69" s="29"/>
      <c r="J69" s="19" t="s">
        <v>330</v>
      </c>
      <c r="K69" s="19" t="n">
        <v>1167</v>
      </c>
      <c r="L69" s="28" t="n">
        <f>IFERROR(K69/SUM($K$60:$K$69),"")</f>
        <v>0.0255087542897113</v>
      </c>
      <c r="M69" s="29"/>
      <c r="N69" s="29"/>
      <c r="O69" s="29"/>
      <c r="P69" s="30"/>
      <c r="Q69" s="30"/>
      <c r="R69" s="30"/>
      <c r="S69" s="30"/>
      <c r="T69" s="30"/>
    </row>
    <row r="70" ht="13.5" customHeight="1">
      <c r="A70" s="36"/>
      <c r="B70" s="36"/>
      <c r="C70" s="36"/>
      <c r="D70" s="37"/>
      <c r="E70" s="38"/>
      <c r="F70" s="38"/>
      <c r="G70" s="38"/>
      <c r="H70" s="36"/>
      <c r="I70" s="38"/>
      <c r="J70" s="36"/>
      <c r="K70" s="36"/>
      <c r="L70" s="37"/>
      <c r="M70" s="38"/>
      <c r="N70" s="38"/>
      <c r="O70" s="38"/>
      <c r="P70" s="30"/>
      <c r="Q70" s="30"/>
      <c r="R70" s="30"/>
      <c r="S70" s="30"/>
      <c r="T70" s="30"/>
    </row>
    <row r="71" ht="13.5" customHeight="1">
      <c r="A71" s="12"/>
      <c r="B71" s="12"/>
      <c r="C71" s="12"/>
      <c r="D71" s="28"/>
      <c r="E71" s="29"/>
      <c r="F71" s="29"/>
      <c r="G71" s="29"/>
      <c r="H71" s="12"/>
      <c r="I71" s="29"/>
      <c r="J71" s="12"/>
      <c r="K71" s="12"/>
      <c r="L71" s="28"/>
      <c r="M71" s="29"/>
      <c r="N71" s="29"/>
      <c r="O71" s="29"/>
      <c r="P71" s="30"/>
      <c r="Q71" s="30"/>
      <c r="R71" s="30"/>
      <c r="S71" s="30"/>
      <c r="T71" s="30"/>
    </row>
    <row r="72" ht="13.5" customHeight="1">
      <c r="A72" s="12"/>
      <c r="B72" s="12"/>
      <c r="C72" s="12"/>
      <c r="D72" s="28"/>
      <c r="E72" s="29"/>
      <c r="F72" s="29"/>
      <c r="G72" s="29"/>
      <c r="H72" s="12"/>
      <c r="I72" s="29"/>
      <c r="J72" s="12"/>
      <c r="K72" s="12"/>
      <c r="L72" s="28"/>
      <c r="M72" s="29"/>
      <c r="N72" s="29"/>
      <c r="O72" s="29"/>
      <c r="P72" s="30"/>
      <c r="Q72" s="30"/>
      <c r="R72" s="30"/>
      <c r="S72" s="30"/>
      <c r="T72" s="30"/>
    </row>
    <row r="73" ht="13.5" customHeight="1">
      <c r="A73" s="12"/>
      <c r="B73" s="12"/>
      <c r="C73" s="12"/>
      <c r="D73" s="28"/>
      <c r="E73" s="29"/>
      <c r="F73" s="29"/>
      <c r="G73" s="29"/>
      <c r="H73" s="12"/>
      <c r="I73" s="29"/>
      <c r="J73" s="12"/>
      <c r="K73" s="12"/>
      <c r="L73" s="28"/>
      <c r="M73" s="29"/>
      <c r="N73" s="29"/>
      <c r="O73" s="29"/>
      <c r="P73" s="30"/>
      <c r="Q73" s="30"/>
      <c r="R73" s="30"/>
      <c r="S73" s="30"/>
      <c r="T73" s="30"/>
    </row>
    <row r="74" ht="13.5" customHeight="1">
      <c r="A74" s="12"/>
      <c r="B74" s="12"/>
      <c r="C74" s="12"/>
      <c r="D74" s="28"/>
      <c r="E74" s="29"/>
      <c r="F74" s="29"/>
      <c r="G74" s="29"/>
      <c r="H74" s="12"/>
      <c r="I74" s="29"/>
      <c r="J74" s="12"/>
      <c r="K74" s="12"/>
      <c r="L74" s="28"/>
      <c r="M74" s="29"/>
      <c r="N74" s="29"/>
      <c r="O74" s="29"/>
      <c r="P74" s="30"/>
      <c r="Q74" s="30"/>
      <c r="R74" s="30"/>
      <c r="S74" s="30"/>
      <c r="T74" s="30"/>
    </row>
    <row r="75" ht="13.5" customHeight="1">
      <c r="A75" s="12"/>
      <c r="B75" s="12"/>
      <c r="C75" s="12"/>
      <c r="D75" s="28"/>
      <c r="E75" s="29"/>
      <c r="F75" s="29"/>
      <c r="G75" s="29"/>
      <c r="H75" s="12"/>
      <c r="I75" s="29"/>
      <c r="J75" s="12"/>
      <c r="K75" s="12"/>
      <c r="L75" s="28"/>
      <c r="M75" s="29"/>
      <c r="N75" s="29"/>
      <c r="O75" s="29"/>
      <c r="P75" s="30"/>
      <c r="Q75" s="30"/>
      <c r="R75" s="30"/>
      <c r="S75" s="30"/>
      <c r="T75" s="30"/>
    </row>
    <row r="76" ht="13.5" customHeight="1">
      <c r="A76" s="12"/>
      <c r="B76" s="12"/>
      <c r="C76" s="12"/>
      <c r="D76" s="28"/>
      <c r="E76" s="29"/>
      <c r="F76" s="29"/>
      <c r="G76" s="29"/>
      <c r="H76" s="12"/>
      <c r="I76" s="29"/>
      <c r="J76" s="12"/>
      <c r="K76" s="12"/>
      <c r="L76" s="28"/>
      <c r="M76" s="29"/>
      <c r="N76" s="29"/>
      <c r="O76" s="29"/>
      <c r="P76" s="30"/>
      <c r="Q76" s="30"/>
      <c r="R76" s="30"/>
      <c r="S76" s="30"/>
      <c r="T76" s="30"/>
    </row>
    <row r="77" ht="13.5" customHeight="1">
      <c r="A77" s="12"/>
      <c r="B77" s="12"/>
      <c r="C77" s="12"/>
      <c r="D77" s="28"/>
      <c r="E77" s="29"/>
      <c r="F77" s="29"/>
      <c r="G77" s="29"/>
      <c r="H77" s="12"/>
      <c r="I77" s="29"/>
      <c r="J77" s="12"/>
      <c r="K77" s="12"/>
      <c r="L77" s="28"/>
      <c r="M77" s="29"/>
      <c r="N77" s="29"/>
      <c r="O77" s="29"/>
      <c r="P77" s="30"/>
      <c r="Q77" s="30"/>
      <c r="R77" s="30"/>
      <c r="S77" s="30"/>
      <c r="T77" s="30"/>
    </row>
    <row r="78" ht="13.5" customHeight="1">
      <c r="A78" s="12"/>
      <c r="B78" s="12"/>
      <c r="C78" s="12"/>
      <c r="D78" s="28"/>
      <c r="E78" s="29"/>
      <c r="F78" s="29"/>
      <c r="G78" s="29"/>
      <c r="H78" s="12"/>
      <c r="I78" s="29"/>
      <c r="J78" s="12"/>
      <c r="K78" s="12"/>
      <c r="L78" s="28"/>
      <c r="M78" s="29"/>
      <c r="N78" s="29"/>
      <c r="O78" s="29"/>
      <c r="P78" s="30"/>
      <c r="Q78" s="30"/>
      <c r="R78" s="30"/>
      <c r="S78" s="30"/>
      <c r="T78" s="30"/>
    </row>
    <row r="79" ht="13.5" customHeight="1">
      <c r="A79" s="12"/>
      <c r="B79" s="12"/>
      <c r="C79" s="12"/>
      <c r="D79" s="28"/>
      <c r="E79" s="29"/>
      <c r="F79" s="29"/>
      <c r="G79" s="29"/>
      <c r="H79" s="12"/>
      <c r="I79" s="29"/>
      <c r="J79" s="12"/>
      <c r="K79" s="12"/>
      <c r="L79" s="28"/>
      <c r="M79" s="29"/>
      <c r="N79" s="29"/>
      <c r="O79" s="29"/>
      <c r="P79" s="30"/>
      <c r="Q79" s="30"/>
      <c r="R79" s="30"/>
      <c r="S79" s="30"/>
      <c r="T79" s="30"/>
    </row>
    <row r="80" ht="13.5" customHeight="1">
      <c r="A80" s="12"/>
      <c r="B80" s="12"/>
      <c r="C80" s="12"/>
      <c r="D80" s="28"/>
      <c r="E80" s="29"/>
      <c r="F80" s="29"/>
      <c r="G80" s="29"/>
      <c r="H80" s="12"/>
      <c r="I80" s="29"/>
      <c r="J80" s="12"/>
      <c r="K80" s="12"/>
      <c r="L80" s="28"/>
      <c r="M80" s="29"/>
      <c r="N80" s="29"/>
      <c r="O80" s="29"/>
      <c r="P80" s="30"/>
      <c r="Q80" s="30"/>
      <c r="R80" s="30"/>
      <c r="S80" s="30"/>
      <c r="T80" s="30"/>
    </row>
    <row r="81" ht="13.5" customHeight="1">
      <c r="A81" s="12"/>
      <c r="B81" s="12"/>
      <c r="C81" s="12"/>
      <c r="D81" s="28"/>
      <c r="E81" s="29"/>
      <c r="F81" s="29"/>
      <c r="G81" s="29"/>
      <c r="H81" s="12"/>
      <c r="I81" s="29"/>
      <c r="J81" s="12"/>
      <c r="K81" s="12"/>
      <c r="L81" s="28"/>
      <c r="M81" s="29"/>
      <c r="N81" s="29"/>
      <c r="O81" s="29"/>
      <c r="P81" s="30"/>
      <c r="Q81" s="30"/>
      <c r="R81" s="30"/>
      <c r="S81" s="30"/>
      <c r="T81" s="30"/>
    </row>
    <row r="82" ht="13.5" customHeight="1">
      <c r="A82" s="12"/>
      <c r="B82" s="12"/>
      <c r="C82" s="12"/>
      <c r="D82" s="28"/>
      <c r="E82" s="29"/>
      <c r="F82" s="29"/>
      <c r="G82" s="29"/>
      <c r="H82" s="12"/>
      <c r="I82" s="29"/>
      <c r="J82" s="12"/>
      <c r="K82" s="12"/>
      <c r="L82" s="28"/>
      <c r="M82" s="29"/>
      <c r="N82" s="29"/>
      <c r="O82" s="29"/>
      <c r="P82" s="30"/>
      <c r="Q82" s="30"/>
      <c r="R82" s="30"/>
      <c r="S82" s="30"/>
      <c r="T82" s="30"/>
    </row>
    <row r="83" ht="13.5" customHeight="1">
      <c r="A83" s="12"/>
      <c r="B83" s="12"/>
      <c r="C83" s="12"/>
      <c r="D83" s="28"/>
      <c r="E83" s="29"/>
      <c r="F83" s="29"/>
      <c r="G83" s="29"/>
      <c r="H83" s="12"/>
      <c r="I83" s="29"/>
      <c r="J83" s="12"/>
      <c r="K83" s="12"/>
      <c r="L83" s="28"/>
      <c r="M83" s="29"/>
      <c r="N83" s="29"/>
      <c r="O83" s="29"/>
      <c r="P83" s="30"/>
      <c r="Q83" s="30"/>
      <c r="R83" s="30"/>
      <c r="S83" s="30"/>
      <c r="T83" s="30"/>
    </row>
    <row r="84" ht="13.5" customHeight="1">
      <c r="A84" s="12"/>
      <c r="B84" s="12"/>
      <c r="C84" s="12"/>
      <c r="D84" s="28"/>
      <c r="E84" s="29"/>
      <c r="F84" s="29"/>
      <c r="G84" s="29"/>
      <c r="H84" s="12"/>
      <c r="I84" s="29"/>
      <c r="J84" s="12"/>
      <c r="K84" s="12"/>
      <c r="L84" s="28"/>
      <c r="M84" s="29"/>
      <c r="N84" s="29"/>
      <c r="O84" s="29"/>
      <c r="P84" s="30"/>
      <c r="Q84" s="30"/>
      <c r="R84" s="30"/>
      <c r="S84" s="30"/>
      <c r="T84" s="30"/>
    </row>
    <row r="85" ht="13.5" customHeight="1">
      <c r="A85" s="12"/>
      <c r="B85" s="12"/>
      <c r="C85" s="12"/>
      <c r="D85" s="28"/>
      <c r="E85" s="29"/>
      <c r="F85" s="29"/>
      <c r="G85" s="29"/>
      <c r="H85" s="12"/>
      <c r="I85" s="29"/>
      <c r="J85" s="12"/>
      <c r="K85" s="12"/>
      <c r="L85" s="28"/>
      <c r="M85" s="29"/>
      <c r="N85" s="29"/>
      <c r="O85" s="29"/>
      <c r="P85" s="30"/>
      <c r="Q85" s="30"/>
      <c r="R85" s="30"/>
      <c r="S85" s="30"/>
      <c r="T85" s="30"/>
    </row>
    <row r="86" ht="13.5" customHeight="1">
      <c r="A86" s="12"/>
      <c r="B86" s="12"/>
      <c r="C86" s="12"/>
      <c r="D86" s="28"/>
      <c r="E86" s="29"/>
      <c r="F86" s="29"/>
      <c r="G86" s="29"/>
      <c r="H86" s="12"/>
      <c r="I86" s="29"/>
      <c r="J86" s="12"/>
      <c r="K86" s="12"/>
      <c r="L86" s="28"/>
      <c r="M86" s="29"/>
      <c r="N86" s="29"/>
      <c r="O86" s="29"/>
      <c r="P86" s="30"/>
      <c r="Q86" s="30"/>
      <c r="R86" s="30"/>
      <c r="S86" s="30"/>
      <c r="T86" s="30"/>
    </row>
    <row r="87" ht="13.5" customHeight="1">
      <c r="A87" s="12"/>
      <c r="B87" s="12"/>
      <c r="C87" s="12"/>
      <c r="D87" s="28"/>
      <c r="E87" s="29"/>
      <c r="F87" s="29"/>
      <c r="G87" s="29"/>
      <c r="H87" s="12"/>
      <c r="I87" s="29"/>
      <c r="J87" s="12"/>
      <c r="K87" s="12"/>
      <c r="L87" s="28"/>
      <c r="M87" s="29"/>
      <c r="N87" s="29"/>
      <c r="O87" s="29"/>
      <c r="P87" s="30"/>
      <c r="Q87" s="30"/>
      <c r="R87" s="30"/>
      <c r="S87" s="30"/>
      <c r="T87" s="30"/>
    </row>
    <row r="88" ht="13.5" customHeight="1">
      <c r="A88" s="12"/>
      <c r="B88" s="12"/>
      <c r="C88" s="12"/>
      <c r="D88" s="28"/>
      <c r="E88" s="29"/>
      <c r="F88" s="29"/>
      <c r="G88" s="29"/>
      <c r="H88" s="12"/>
      <c r="I88" s="29"/>
      <c r="J88" s="12"/>
      <c r="K88" s="12"/>
      <c r="L88" s="28"/>
      <c r="M88" s="29"/>
      <c r="N88" s="29"/>
      <c r="O88" s="29"/>
      <c r="P88" s="30"/>
      <c r="Q88" s="30"/>
      <c r="R88" s="30"/>
      <c r="S88" s="30"/>
      <c r="T88" s="30"/>
    </row>
    <row r="89" ht="13.5" customHeight="1">
      <c r="A89" s="12"/>
      <c r="B89" s="12"/>
      <c r="C89" s="12"/>
      <c r="D89" s="28"/>
      <c r="E89" s="29"/>
      <c r="F89" s="29"/>
      <c r="G89" s="29"/>
      <c r="H89" s="12"/>
      <c r="I89" s="29"/>
      <c r="J89" s="12"/>
      <c r="K89" s="12"/>
      <c r="L89" s="28"/>
      <c r="M89" s="29"/>
      <c r="N89" s="29"/>
      <c r="O89" s="29"/>
      <c r="P89" s="30"/>
      <c r="Q89" s="30"/>
      <c r="R89" s="30"/>
      <c r="S89" s="30"/>
      <c r="T89" s="30"/>
    </row>
    <row r="90" ht="13.5" customHeight="1">
      <c r="A90" s="12"/>
      <c r="B90" s="12"/>
      <c r="C90" s="12"/>
      <c r="D90" s="28"/>
      <c r="E90" s="29"/>
      <c r="F90" s="29"/>
      <c r="G90" s="29"/>
      <c r="H90" s="12"/>
      <c r="I90" s="29"/>
      <c r="J90" s="12"/>
      <c r="K90" s="12"/>
      <c r="L90" s="28"/>
      <c r="M90" s="29"/>
      <c r="N90" s="29"/>
      <c r="O90" s="29"/>
      <c r="P90" s="30"/>
      <c r="Q90" s="30"/>
      <c r="R90" s="30"/>
      <c r="S90" s="30"/>
      <c r="T90" s="30"/>
    </row>
    <row r="91" ht="13.5" customHeight="1">
      <c r="A91" s="12"/>
      <c r="B91" s="12"/>
      <c r="C91" s="12"/>
      <c r="D91" s="28"/>
      <c r="E91" s="29"/>
      <c r="F91" s="29"/>
      <c r="G91" s="29"/>
      <c r="H91" s="12"/>
      <c r="I91" s="29"/>
      <c r="J91" s="12"/>
      <c r="K91" s="12"/>
      <c r="L91" s="28"/>
      <c r="M91" s="29"/>
      <c r="N91" s="29"/>
      <c r="O91" s="29"/>
      <c r="P91" s="30"/>
      <c r="Q91" s="30"/>
      <c r="R91" s="30"/>
      <c r="S91" s="30"/>
      <c r="T91" s="30"/>
    </row>
    <row r="92" ht="13.5" customHeight="1">
      <c r="A92" s="12"/>
      <c r="B92" s="12"/>
      <c r="C92" s="12"/>
      <c r="D92" s="28"/>
      <c r="E92" s="29"/>
      <c r="F92" s="29"/>
      <c r="G92" s="29"/>
      <c r="H92" s="12"/>
      <c r="I92" s="29"/>
      <c r="J92" s="12"/>
      <c r="K92" s="12"/>
      <c r="L92" s="28"/>
      <c r="M92" s="29"/>
      <c r="N92" s="29"/>
      <c r="O92" s="29"/>
      <c r="P92" s="30"/>
      <c r="Q92" s="30"/>
      <c r="R92" s="30"/>
      <c r="S92" s="30"/>
      <c r="T92" s="30"/>
    </row>
    <row r="93" ht="13.5" customHeight="1">
      <c r="A93" s="12"/>
      <c r="B93" s="12"/>
      <c r="C93" s="12"/>
      <c r="D93" s="28"/>
      <c r="E93" s="29"/>
      <c r="F93" s="29"/>
      <c r="G93" s="29"/>
      <c r="H93" s="12"/>
      <c r="I93" s="29"/>
      <c r="J93" s="12"/>
      <c r="K93" s="12"/>
      <c r="L93" s="28"/>
      <c r="M93" s="29"/>
      <c r="N93" s="29"/>
      <c r="O93" s="29"/>
      <c r="P93" s="30"/>
      <c r="Q93" s="30"/>
      <c r="R93" s="30"/>
      <c r="S93" s="30"/>
      <c r="T93" s="30"/>
    </row>
    <row r="94" ht="13.5" customHeight="1">
      <c r="A94" s="12"/>
      <c r="B94" s="12"/>
      <c r="C94" s="12"/>
      <c r="D94" s="28"/>
      <c r="E94" s="29"/>
      <c r="F94" s="29"/>
      <c r="G94" s="29"/>
      <c r="H94" s="12"/>
      <c r="I94" s="29"/>
      <c r="J94" s="12"/>
      <c r="K94" s="12"/>
      <c r="L94" s="28"/>
      <c r="M94" s="29"/>
      <c r="N94" s="29"/>
      <c r="O94" s="29"/>
      <c r="P94" s="30"/>
      <c r="Q94" s="30"/>
      <c r="R94" s="30"/>
      <c r="S94" s="30"/>
      <c r="T94" s="30"/>
    </row>
    <row r="95" ht="13.5" customHeight="1">
      <c r="A95" s="12"/>
      <c r="B95" s="12"/>
      <c r="C95" s="12"/>
      <c r="D95" s="28"/>
      <c r="E95" s="29"/>
      <c r="F95" s="29"/>
      <c r="G95" s="29"/>
      <c r="H95" s="12"/>
      <c r="I95" s="29"/>
      <c r="J95" s="12"/>
      <c r="K95" s="12"/>
      <c r="L95" s="28"/>
      <c r="M95" s="29"/>
      <c r="N95" s="29"/>
      <c r="O95" s="29"/>
      <c r="P95" s="30"/>
      <c r="Q95" s="30"/>
      <c r="R95" s="30"/>
      <c r="S95" s="30"/>
      <c r="T95" s="30"/>
    </row>
    <row r="96" ht="13.5" customHeight="1">
      <c r="A96" s="12"/>
      <c r="B96" s="12"/>
      <c r="C96" s="12"/>
      <c r="D96" s="28"/>
      <c r="E96" s="29"/>
      <c r="F96" s="29"/>
      <c r="G96" s="29"/>
      <c r="H96" s="12"/>
      <c r="I96" s="29"/>
      <c r="J96" s="12"/>
      <c r="K96" s="12"/>
      <c r="L96" s="28"/>
      <c r="M96" s="29"/>
      <c r="N96" s="29"/>
      <c r="O96" s="29"/>
      <c r="P96" s="30"/>
      <c r="Q96" s="30"/>
      <c r="R96" s="30"/>
      <c r="S96" s="30"/>
      <c r="T96" s="30"/>
    </row>
    <row r="97" ht="13.5" customHeight="1">
      <c r="A97" s="12"/>
      <c r="B97" s="12"/>
      <c r="C97" s="12"/>
      <c r="D97" s="28"/>
      <c r="E97" s="29"/>
      <c r="F97" s="29"/>
      <c r="G97" s="29"/>
      <c r="H97" s="12"/>
      <c r="I97" s="29"/>
      <c r="J97" s="12"/>
      <c r="K97" s="12"/>
      <c r="L97" s="28"/>
      <c r="M97" s="29"/>
      <c r="N97" s="29"/>
      <c r="O97" s="29"/>
      <c r="P97" s="30"/>
      <c r="Q97" s="30"/>
      <c r="R97" s="30"/>
      <c r="S97" s="30"/>
      <c r="T97" s="30"/>
    </row>
    <row r="98" ht="13.5" customHeight="1">
      <c r="A98" s="12"/>
      <c r="B98" s="12"/>
      <c r="C98" s="12"/>
      <c r="D98" s="28"/>
      <c r="E98" s="29"/>
      <c r="F98" s="29"/>
      <c r="G98" s="29"/>
      <c r="H98" s="12"/>
      <c r="I98" s="29"/>
      <c r="J98" s="12"/>
      <c r="K98" s="12"/>
      <c r="L98" s="28"/>
      <c r="M98" s="29"/>
      <c r="N98" s="29"/>
      <c r="O98" s="29"/>
      <c r="P98" s="30"/>
      <c r="Q98" s="30"/>
      <c r="R98" s="30"/>
      <c r="S98" s="30"/>
      <c r="T98" s="30"/>
    </row>
    <row r="99" ht="13.5" customHeight="1">
      <c r="A99" s="12"/>
      <c r="B99" s="12"/>
      <c r="C99" s="12"/>
      <c r="D99" s="28"/>
      <c r="E99" s="29"/>
      <c r="F99" s="29"/>
      <c r="G99" s="29"/>
      <c r="H99" s="12"/>
      <c r="I99" s="29"/>
      <c r="J99" s="12"/>
      <c r="K99" s="12"/>
      <c r="L99" s="28"/>
      <c r="M99" s="29"/>
      <c r="N99" s="29"/>
      <c r="O99" s="29"/>
      <c r="P99" s="30"/>
      <c r="Q99" s="30"/>
      <c r="R99" s="30"/>
      <c r="S99" s="30"/>
      <c r="T99" s="30"/>
    </row>
    <row r="100" ht="13.5" customHeight="1">
      <c r="A100" s="12"/>
      <c r="B100" s="12"/>
      <c r="C100" s="12"/>
      <c r="D100" s="28"/>
      <c r="E100" s="29"/>
      <c r="F100" s="29"/>
      <c r="G100" s="29"/>
      <c r="H100" s="12"/>
      <c r="I100" s="29"/>
      <c r="J100" s="12"/>
      <c r="K100" s="12"/>
      <c r="L100" s="28"/>
      <c r="M100" s="29"/>
      <c r="N100" s="29"/>
      <c r="O100" s="29"/>
      <c r="P100" s="30"/>
      <c r="Q100" s="30"/>
      <c r="R100" s="30"/>
      <c r="S100" s="30"/>
      <c r="T100" s="30"/>
    </row>
    <row r="101" ht="13.5" customHeight="1">
      <c r="A101" s="12"/>
      <c r="B101" s="12"/>
      <c r="C101" s="12"/>
      <c r="D101" s="28"/>
      <c r="E101" s="29"/>
      <c r="F101" s="29"/>
      <c r="G101" s="29"/>
      <c r="H101" s="12"/>
      <c r="I101" s="29"/>
      <c r="J101" s="12"/>
      <c r="K101" s="12"/>
      <c r="L101" s="28"/>
      <c r="M101" s="29"/>
      <c r="N101" s="29"/>
      <c r="O101" s="29"/>
      <c r="P101" s="30"/>
      <c r="Q101" s="30"/>
      <c r="R101" s="30"/>
      <c r="S101" s="30"/>
      <c r="T101" s="30"/>
    </row>
    <row r="102" ht="13.5" customHeight="1">
      <c r="A102" s="12"/>
      <c r="B102" s="12"/>
      <c r="C102" s="12"/>
      <c r="D102" s="28"/>
      <c r="E102" s="29"/>
      <c r="F102" s="29"/>
      <c r="G102" s="29"/>
      <c r="H102" s="12"/>
      <c r="I102" s="29"/>
      <c r="J102" s="12"/>
      <c r="K102" s="12"/>
      <c r="L102" s="28"/>
      <c r="M102" s="29"/>
      <c r="N102" s="29"/>
      <c r="O102" s="29"/>
      <c r="P102" s="30"/>
      <c r="Q102" s="30"/>
      <c r="R102" s="30"/>
      <c r="S102" s="30"/>
      <c r="T102" s="30"/>
    </row>
    <row r="103" ht="13.5" customHeight="1">
      <c r="A103" s="12"/>
      <c r="B103" s="12"/>
      <c r="C103" s="12"/>
      <c r="D103" s="28"/>
      <c r="E103" s="29"/>
      <c r="F103" s="29"/>
      <c r="G103" s="29"/>
      <c r="H103" s="12"/>
      <c r="I103" s="29"/>
      <c r="J103" s="12"/>
      <c r="K103" s="12"/>
      <c r="L103" s="28"/>
      <c r="M103" s="29"/>
      <c r="N103" s="29"/>
      <c r="O103" s="29"/>
      <c r="P103" s="30"/>
      <c r="Q103" s="30"/>
      <c r="R103" s="30"/>
      <c r="S103" s="30"/>
      <c r="T103" s="30"/>
    </row>
    <row r="104" ht="13.5" customHeight="1">
      <c r="A104" s="12"/>
      <c r="B104" s="12"/>
      <c r="C104" s="12"/>
      <c r="D104" s="28"/>
      <c r="E104" s="29"/>
      <c r="F104" s="29"/>
      <c r="G104" s="29"/>
      <c r="H104" s="12"/>
      <c r="I104" s="29"/>
      <c r="J104" s="12"/>
      <c r="K104" s="12"/>
      <c r="L104" s="28"/>
      <c r="M104" s="29"/>
      <c r="N104" s="29"/>
      <c r="O104" s="29"/>
      <c r="P104" s="30"/>
      <c r="Q104" s="30"/>
      <c r="R104" s="30"/>
      <c r="S104" s="30"/>
      <c r="T104" s="30"/>
    </row>
    <row r="105" ht="13.5" customHeight="1">
      <c r="A105" s="12"/>
      <c r="B105" s="12"/>
      <c r="C105" s="12"/>
      <c r="D105" s="28"/>
      <c r="E105" s="29"/>
      <c r="F105" s="29"/>
      <c r="G105" s="29"/>
      <c r="H105" s="12"/>
      <c r="I105" s="29"/>
      <c r="J105" s="12"/>
      <c r="K105" s="12"/>
      <c r="L105" s="28"/>
      <c r="M105" s="29"/>
      <c r="N105" s="29"/>
      <c r="O105" s="29"/>
      <c r="P105" s="30"/>
      <c r="Q105" s="30"/>
      <c r="R105" s="30"/>
      <c r="S105" s="30"/>
      <c r="T105" s="30"/>
    </row>
    <row r="106" ht="13.5" customHeight="1">
      <c r="A106" s="12"/>
      <c r="B106" s="12"/>
      <c r="C106" s="12"/>
      <c r="D106" s="28"/>
      <c r="E106" s="29"/>
      <c r="F106" s="29"/>
      <c r="G106" s="29"/>
      <c r="H106" s="12"/>
      <c r="I106" s="29"/>
      <c r="J106" s="12"/>
      <c r="K106" s="12"/>
      <c r="L106" s="28"/>
      <c r="M106" s="29"/>
      <c r="N106" s="29"/>
      <c r="O106" s="29"/>
      <c r="P106" s="30"/>
      <c r="Q106" s="30"/>
      <c r="R106" s="30"/>
      <c r="S106" s="30"/>
      <c r="T106" s="30"/>
    </row>
    <row r="107" ht="13.5" customHeight="1">
      <c r="A107" s="12"/>
      <c r="B107" s="12"/>
      <c r="C107" s="12"/>
      <c r="D107" s="28"/>
      <c r="E107" s="29"/>
      <c r="F107" s="29"/>
      <c r="G107" s="29"/>
      <c r="H107" s="12"/>
      <c r="I107" s="29"/>
      <c r="J107" s="12"/>
      <c r="K107" s="12"/>
      <c r="L107" s="28"/>
      <c r="M107" s="29"/>
      <c r="N107" s="29"/>
      <c r="O107" s="29"/>
      <c r="P107" s="30"/>
      <c r="Q107" s="30"/>
      <c r="R107" s="30"/>
      <c r="S107" s="30"/>
      <c r="T107" s="30"/>
    </row>
    <row r="108" ht="13.5" customHeight="1">
      <c r="A108" s="12"/>
      <c r="B108" s="12"/>
      <c r="C108" s="12"/>
      <c r="D108" s="28"/>
      <c r="E108" s="29"/>
      <c r="F108" s="29"/>
      <c r="G108" s="29"/>
      <c r="H108" s="12"/>
      <c r="I108" s="29"/>
      <c r="J108" s="12"/>
      <c r="K108" s="12"/>
      <c r="L108" s="28"/>
      <c r="M108" s="29"/>
      <c r="N108" s="29"/>
      <c r="O108" s="29"/>
      <c r="P108" s="30"/>
      <c r="Q108" s="30"/>
      <c r="R108" s="30"/>
      <c r="S108" s="30"/>
      <c r="T108" s="30"/>
    </row>
    <row r="109" ht="13.5" customHeight="1">
      <c r="A109" s="12"/>
      <c r="B109" s="12"/>
      <c r="C109" s="12"/>
      <c r="D109" s="28"/>
      <c r="E109" s="29"/>
      <c r="F109" s="29"/>
      <c r="G109" s="29"/>
      <c r="H109" s="12"/>
      <c r="I109" s="29"/>
      <c r="J109" s="12"/>
      <c r="K109" s="12"/>
      <c r="L109" s="28"/>
      <c r="M109" s="29"/>
      <c r="N109" s="29"/>
      <c r="O109" s="29"/>
      <c r="P109" s="30"/>
      <c r="Q109" s="30"/>
      <c r="R109" s="30"/>
      <c r="S109" s="30"/>
      <c r="T109" s="30"/>
    </row>
    <row r="110" ht="13.5" customHeight="1">
      <c r="A110" s="12"/>
      <c r="B110" s="12"/>
      <c r="C110" s="12"/>
      <c r="D110" s="28"/>
      <c r="E110" s="29"/>
      <c r="F110" s="29"/>
      <c r="G110" s="29"/>
      <c r="H110" s="12"/>
      <c r="I110" s="29"/>
      <c r="J110" s="12"/>
      <c r="K110" s="12"/>
      <c r="L110" s="28"/>
      <c r="M110" s="29"/>
      <c r="N110" s="29"/>
      <c r="O110" s="29"/>
      <c r="P110" s="30"/>
      <c r="Q110" s="30"/>
      <c r="R110" s="30"/>
      <c r="S110" s="30"/>
      <c r="T110" s="30"/>
    </row>
    <row r="111" ht="13.5" customHeight="1">
      <c r="A111" s="12"/>
      <c r="B111" s="12"/>
      <c r="C111" s="12"/>
      <c r="D111" s="28"/>
      <c r="E111" s="29"/>
      <c r="F111" s="29"/>
      <c r="G111" s="29"/>
      <c r="H111" s="12"/>
      <c r="I111" s="29"/>
      <c r="J111" s="12"/>
      <c r="K111" s="12"/>
      <c r="L111" s="28"/>
      <c r="M111" s="29"/>
      <c r="N111" s="29"/>
      <c r="O111" s="29"/>
      <c r="P111" s="30"/>
      <c r="Q111" s="30"/>
      <c r="R111" s="30"/>
      <c r="S111" s="30"/>
      <c r="T111" s="30"/>
    </row>
    <row r="112" ht="13.5" customHeight="1">
      <c r="A112" s="12"/>
      <c r="B112" s="12"/>
      <c r="C112" s="12"/>
      <c r="D112" s="28"/>
      <c r="E112" s="29"/>
      <c r="F112" s="29"/>
      <c r="G112" s="29"/>
      <c r="H112" s="12"/>
      <c r="I112" s="29"/>
      <c r="J112" s="12"/>
      <c r="K112" s="12"/>
      <c r="L112" s="28"/>
      <c r="M112" s="29"/>
      <c r="N112" s="29"/>
      <c r="O112" s="29"/>
      <c r="P112" s="30"/>
      <c r="Q112" s="30"/>
      <c r="R112" s="30"/>
      <c r="S112" s="30"/>
      <c r="T112" s="30"/>
    </row>
    <row r="113" ht="13.5" customHeight="1">
      <c r="A113" s="12"/>
      <c r="B113" s="12"/>
      <c r="C113" s="12"/>
      <c r="D113" s="28"/>
      <c r="E113" s="29"/>
      <c r="F113" s="29"/>
      <c r="G113" s="29"/>
      <c r="H113" s="12"/>
      <c r="I113" s="29"/>
      <c r="J113" s="12"/>
      <c r="K113" s="12"/>
      <c r="L113" s="28"/>
      <c r="M113" s="29"/>
      <c r="N113" s="29"/>
      <c r="O113" s="29"/>
      <c r="P113" s="30"/>
      <c r="Q113" s="30"/>
      <c r="R113" s="30"/>
      <c r="S113" s="30"/>
      <c r="T113" s="30"/>
    </row>
    <row r="114" ht="13.5" customHeight="1">
      <c r="A114" s="12"/>
      <c r="B114" s="12"/>
      <c r="C114" s="12"/>
      <c r="D114" s="28"/>
      <c r="E114" s="29"/>
      <c r="F114" s="29"/>
      <c r="G114" s="29"/>
      <c r="H114" s="12"/>
      <c r="I114" s="29"/>
      <c r="J114" s="12"/>
      <c r="K114" s="12"/>
      <c r="L114" s="28"/>
      <c r="M114" s="29"/>
      <c r="N114" s="29"/>
      <c r="O114" s="29"/>
      <c r="P114" s="30"/>
      <c r="Q114" s="30"/>
      <c r="R114" s="30"/>
      <c r="S114" s="30"/>
      <c r="T114" s="30"/>
    </row>
    <row r="115" ht="13.5" customHeight="1">
      <c r="A115" s="12"/>
      <c r="B115" s="12"/>
      <c r="C115" s="12"/>
      <c r="D115" s="28"/>
      <c r="E115" s="29"/>
      <c r="F115" s="29"/>
      <c r="G115" s="29"/>
      <c r="H115" s="12"/>
      <c r="I115" s="29"/>
      <c r="J115" s="12"/>
      <c r="K115" s="12"/>
      <c r="L115" s="28"/>
      <c r="M115" s="29"/>
      <c r="N115" s="29"/>
      <c r="O115" s="29"/>
      <c r="P115" s="30"/>
      <c r="Q115" s="30"/>
      <c r="R115" s="30"/>
      <c r="S115" s="30"/>
      <c r="T115" s="30"/>
    </row>
    <row r="116" ht="13.5" customHeight="1">
      <c r="A116" s="12"/>
      <c r="B116" s="12"/>
      <c r="C116" s="12"/>
      <c r="D116" s="28"/>
      <c r="E116" s="29"/>
      <c r="F116" s="29"/>
      <c r="G116" s="29"/>
      <c r="H116" s="12"/>
      <c r="I116" s="29"/>
      <c r="J116" s="12"/>
      <c r="K116" s="12"/>
      <c r="L116" s="28"/>
      <c r="M116" s="29"/>
      <c r="N116" s="29"/>
      <c r="O116" s="29"/>
      <c r="P116" s="30"/>
      <c r="Q116" s="30"/>
      <c r="R116" s="30"/>
      <c r="S116" s="30"/>
      <c r="T116" s="30"/>
    </row>
    <row r="117" ht="13.5" customHeight="1">
      <c r="A117" s="12"/>
      <c r="B117" s="12"/>
      <c r="C117" s="12"/>
      <c r="D117" s="28"/>
      <c r="E117" s="29"/>
      <c r="F117" s="29"/>
      <c r="G117" s="29"/>
      <c r="H117" s="12"/>
      <c r="I117" s="29"/>
      <c r="J117" s="12"/>
      <c r="K117" s="12"/>
      <c r="L117" s="28"/>
      <c r="M117" s="29"/>
      <c r="N117" s="29"/>
      <c r="O117" s="29"/>
      <c r="P117" s="30"/>
      <c r="Q117" s="30"/>
      <c r="R117" s="30"/>
      <c r="S117" s="30"/>
      <c r="T117" s="30"/>
    </row>
    <row r="118" ht="13.5" customHeight="1">
      <c r="A118" s="12"/>
      <c r="B118" s="12"/>
      <c r="C118" s="12"/>
      <c r="D118" s="28"/>
      <c r="E118" s="29"/>
      <c r="F118" s="29"/>
      <c r="G118" s="29"/>
      <c r="H118" s="12"/>
      <c r="I118" s="29"/>
      <c r="J118" s="12"/>
      <c r="K118" s="12"/>
      <c r="L118" s="28"/>
      <c r="M118" s="29"/>
      <c r="N118" s="29"/>
      <c r="O118" s="29"/>
      <c r="P118" s="30"/>
      <c r="Q118" s="30"/>
      <c r="R118" s="30"/>
      <c r="S118" s="30"/>
      <c r="T118" s="30"/>
    </row>
    <row r="119" ht="13.5" customHeight="1">
      <c r="A119" s="12"/>
      <c r="B119" s="12"/>
      <c r="C119" s="12"/>
      <c r="D119" s="28"/>
      <c r="E119" s="29"/>
      <c r="F119" s="29"/>
      <c r="G119" s="29"/>
      <c r="H119" s="12"/>
      <c r="I119" s="29"/>
      <c r="J119" s="12"/>
      <c r="K119" s="12"/>
      <c r="L119" s="28"/>
      <c r="M119" s="29"/>
      <c r="N119" s="29"/>
      <c r="O119" s="29"/>
      <c r="P119" s="30"/>
      <c r="Q119" s="30"/>
      <c r="R119" s="30"/>
      <c r="S119" s="30"/>
      <c r="T119" s="30"/>
    </row>
    <row r="120" ht="13.5" customHeight="1">
      <c r="A120" s="12"/>
      <c r="B120" s="12"/>
      <c r="C120" s="12"/>
      <c r="D120" s="28"/>
      <c r="E120" s="29"/>
      <c r="F120" s="29"/>
      <c r="G120" s="29"/>
      <c r="H120" s="12"/>
      <c r="I120" s="29"/>
      <c r="J120" s="12"/>
      <c r="K120" s="12"/>
      <c r="L120" s="28"/>
      <c r="M120" s="29"/>
      <c r="N120" s="29"/>
      <c r="O120" s="29"/>
      <c r="P120" s="30"/>
      <c r="Q120" s="30"/>
      <c r="R120" s="30"/>
      <c r="S120" s="30"/>
      <c r="T120" s="30"/>
    </row>
    <row r="121" ht="13.5" customHeight="1">
      <c r="A121" s="12"/>
      <c r="B121" s="12"/>
      <c r="C121" s="12"/>
      <c r="D121" s="28"/>
      <c r="E121" s="29"/>
      <c r="F121" s="29"/>
      <c r="G121" s="29"/>
      <c r="H121" s="12"/>
      <c r="I121" s="29"/>
      <c r="J121" s="12"/>
      <c r="K121" s="12"/>
      <c r="L121" s="28"/>
      <c r="M121" s="29"/>
      <c r="N121" s="29"/>
      <c r="O121" s="29"/>
      <c r="P121" s="30"/>
      <c r="Q121" s="30"/>
      <c r="R121" s="30"/>
      <c r="S121" s="30"/>
      <c r="T121" s="30"/>
    </row>
    <row r="122" ht="13.5" customHeight="1">
      <c r="A122" s="12"/>
      <c r="B122" s="12"/>
      <c r="C122" s="12"/>
      <c r="D122" s="28"/>
      <c r="E122" s="29"/>
      <c r="F122" s="29"/>
      <c r="G122" s="29"/>
      <c r="H122" s="12"/>
      <c r="I122" s="29"/>
      <c r="J122" s="12"/>
      <c r="K122" s="12"/>
      <c r="L122" s="28"/>
      <c r="M122" s="29"/>
      <c r="N122" s="29"/>
      <c r="O122" s="29"/>
      <c r="P122" s="30"/>
      <c r="Q122" s="30"/>
      <c r="R122" s="30"/>
      <c r="S122" s="30"/>
      <c r="T122" s="30"/>
    </row>
    <row r="123" ht="13.5" customHeight="1">
      <c r="A123" s="12"/>
      <c r="B123" s="12"/>
      <c r="C123" s="12"/>
      <c r="D123" s="28"/>
      <c r="E123" s="29"/>
      <c r="F123" s="29"/>
      <c r="G123" s="29"/>
      <c r="H123" s="12"/>
      <c r="I123" s="29"/>
      <c r="J123" s="12"/>
      <c r="K123" s="12"/>
      <c r="L123" s="28"/>
      <c r="M123" s="29"/>
      <c r="N123" s="29"/>
      <c r="O123" s="29"/>
      <c r="P123" s="30"/>
      <c r="Q123" s="30"/>
      <c r="R123" s="30"/>
      <c r="S123" s="30"/>
      <c r="T123" s="30"/>
    </row>
    <row r="124" ht="13.5" customHeight="1">
      <c r="A124" s="12"/>
      <c r="B124" s="12"/>
      <c r="C124" s="12"/>
      <c r="D124" s="28"/>
      <c r="E124" s="29"/>
      <c r="F124" s="29"/>
      <c r="G124" s="29"/>
      <c r="H124" s="12"/>
      <c r="I124" s="29"/>
      <c r="J124" s="12"/>
      <c r="K124" s="12"/>
      <c r="L124" s="28"/>
      <c r="M124" s="29"/>
      <c r="N124" s="29"/>
      <c r="O124" s="29"/>
      <c r="P124" s="30"/>
      <c r="Q124" s="30"/>
      <c r="R124" s="30"/>
      <c r="S124" s="30"/>
      <c r="T124" s="30"/>
    </row>
    <row r="125" ht="13.5" customHeight="1">
      <c r="A125" s="12"/>
      <c r="B125" s="12"/>
      <c r="C125" s="12"/>
      <c r="D125" s="28"/>
      <c r="E125" s="29"/>
      <c r="F125" s="29"/>
      <c r="G125" s="29"/>
      <c r="H125" s="12"/>
      <c r="I125" s="29"/>
      <c r="J125" s="12"/>
      <c r="K125" s="12"/>
      <c r="L125" s="28"/>
      <c r="M125" s="29"/>
      <c r="N125" s="29"/>
      <c r="O125" s="29"/>
      <c r="P125" s="30"/>
      <c r="Q125" s="30"/>
      <c r="R125" s="30"/>
      <c r="S125" s="30"/>
      <c r="T125" s="30"/>
    </row>
    <row r="126" ht="13.5" customHeight="1">
      <c r="A126" s="12"/>
      <c r="B126" s="12"/>
      <c r="C126" s="12"/>
      <c r="D126" s="28"/>
      <c r="E126" s="29"/>
      <c r="F126" s="29"/>
      <c r="G126" s="29"/>
      <c r="H126" s="12"/>
      <c r="I126" s="29"/>
      <c r="J126" s="12"/>
      <c r="K126" s="12"/>
      <c r="L126" s="28"/>
      <c r="M126" s="29"/>
      <c r="N126" s="29"/>
      <c r="O126" s="29"/>
      <c r="P126" s="30"/>
      <c r="Q126" s="30"/>
      <c r="R126" s="30"/>
      <c r="S126" s="30"/>
      <c r="T126" s="30"/>
    </row>
    <row r="127" ht="13.5" customHeight="1">
      <c r="A127" s="12"/>
      <c r="B127" s="12"/>
      <c r="C127" s="12"/>
      <c r="D127" s="28"/>
      <c r="E127" s="29"/>
      <c r="F127" s="29"/>
      <c r="G127" s="29"/>
      <c r="H127" s="12"/>
      <c r="I127" s="29"/>
      <c r="J127" s="12"/>
      <c r="K127" s="12"/>
      <c r="L127" s="28"/>
      <c r="M127" s="29"/>
      <c r="N127" s="29"/>
      <c r="O127" s="29"/>
      <c r="P127" s="30"/>
      <c r="Q127" s="30"/>
      <c r="R127" s="30"/>
      <c r="S127" s="30"/>
      <c r="T127" s="30"/>
    </row>
    <row r="128" ht="13.5" customHeight="1">
      <c r="A128" s="12"/>
      <c r="B128" s="12"/>
      <c r="C128" s="12"/>
      <c r="D128" s="28"/>
      <c r="E128" s="29"/>
      <c r="F128" s="29"/>
      <c r="G128" s="29"/>
      <c r="H128" s="12"/>
      <c r="I128" s="29"/>
      <c r="J128" s="12"/>
      <c r="K128" s="12"/>
      <c r="L128" s="28"/>
      <c r="M128" s="29"/>
      <c r="N128" s="29"/>
      <c r="O128" s="29"/>
      <c r="P128" s="30"/>
      <c r="Q128" s="30"/>
      <c r="R128" s="30"/>
      <c r="S128" s="30"/>
      <c r="T128" s="30"/>
    </row>
    <row r="129" ht="13.5" customHeight="1">
      <c r="A129" s="12"/>
      <c r="B129" s="12"/>
      <c r="C129" s="12"/>
      <c r="D129" s="28"/>
      <c r="E129" s="29"/>
      <c r="F129" s="29"/>
      <c r="G129" s="29"/>
      <c r="H129" s="12"/>
      <c r="I129" s="29"/>
      <c r="J129" s="12"/>
      <c r="K129" s="12"/>
      <c r="L129" s="28"/>
      <c r="M129" s="29"/>
      <c r="N129" s="29"/>
      <c r="O129" s="29"/>
      <c r="P129" s="30"/>
      <c r="Q129" s="30"/>
      <c r="R129" s="30"/>
      <c r="S129" s="30"/>
      <c r="T129" s="30"/>
    </row>
    <row r="130" ht="13.5" customHeight="1">
      <c r="A130" s="12"/>
      <c r="B130" s="12"/>
      <c r="C130" s="12"/>
      <c r="D130" s="28"/>
      <c r="E130" s="29"/>
      <c r="F130" s="29"/>
      <c r="G130" s="29"/>
      <c r="H130" s="12"/>
      <c r="I130" s="29"/>
      <c r="J130" s="12"/>
      <c r="K130" s="12"/>
      <c r="L130" s="28"/>
      <c r="M130" s="29"/>
      <c r="N130" s="29"/>
      <c r="O130" s="29"/>
      <c r="P130" s="30"/>
      <c r="Q130" s="30"/>
      <c r="R130" s="30"/>
      <c r="S130" s="30"/>
      <c r="T130" s="30"/>
    </row>
    <row r="131" ht="13.5" customHeight="1">
      <c r="A131" s="12"/>
      <c r="B131" s="12"/>
      <c r="C131" s="12"/>
      <c r="D131" s="28"/>
      <c r="E131" s="29"/>
      <c r="F131" s="29"/>
      <c r="G131" s="29"/>
      <c r="H131" s="12"/>
      <c r="I131" s="29"/>
      <c r="J131" s="12"/>
      <c r="K131" s="12"/>
      <c r="L131" s="28"/>
      <c r="M131" s="29"/>
      <c r="N131" s="29"/>
      <c r="O131" s="29"/>
      <c r="P131" s="30"/>
      <c r="Q131" s="30"/>
      <c r="R131" s="30"/>
      <c r="S131" s="30"/>
      <c r="T131" s="30"/>
    </row>
    <row r="132" ht="13.5" customHeight="1">
      <c r="A132" s="12"/>
      <c r="B132" s="12"/>
      <c r="C132" s="12"/>
      <c r="D132" s="28"/>
      <c r="E132" s="29"/>
      <c r="F132" s="29"/>
      <c r="G132" s="29"/>
      <c r="H132" s="12"/>
      <c r="I132" s="29"/>
      <c r="J132" s="12"/>
      <c r="K132" s="12"/>
      <c r="L132" s="28"/>
      <c r="M132" s="29"/>
      <c r="N132" s="29"/>
      <c r="O132" s="29"/>
      <c r="P132" s="30"/>
      <c r="Q132" s="30"/>
      <c r="R132" s="30"/>
      <c r="S132" s="30"/>
      <c r="T132" s="30"/>
    </row>
    <row r="133" ht="13.5" customHeight="1">
      <c r="A133" s="12"/>
      <c r="B133" s="12"/>
      <c r="C133" s="12"/>
      <c r="D133" s="28"/>
      <c r="E133" s="29"/>
      <c r="F133" s="29"/>
      <c r="G133" s="29"/>
      <c r="H133" s="12"/>
      <c r="I133" s="29"/>
      <c r="J133" s="12"/>
      <c r="K133" s="12"/>
      <c r="L133" s="28"/>
      <c r="M133" s="29"/>
      <c r="N133" s="29"/>
      <c r="O133" s="29"/>
      <c r="P133" s="30"/>
      <c r="Q133" s="30"/>
      <c r="R133" s="30"/>
      <c r="S133" s="30"/>
      <c r="T133" s="30"/>
    </row>
    <row r="134" ht="13.5" customHeight="1">
      <c r="A134" s="12"/>
      <c r="B134" s="12"/>
      <c r="C134" s="12"/>
      <c r="D134" s="28"/>
      <c r="E134" s="29"/>
      <c r="F134" s="29"/>
      <c r="G134" s="29"/>
      <c r="H134" s="12"/>
      <c r="I134" s="29"/>
      <c r="J134" s="12"/>
      <c r="K134" s="12"/>
      <c r="L134" s="28"/>
      <c r="M134" s="29"/>
      <c r="N134" s="29"/>
      <c r="O134" s="29"/>
      <c r="P134" s="30"/>
      <c r="Q134" s="30"/>
      <c r="R134" s="30"/>
      <c r="S134" s="30"/>
      <c r="T134" s="30"/>
    </row>
    <row r="135" ht="13.5" customHeight="1">
      <c r="A135" s="12"/>
      <c r="B135" s="12"/>
      <c r="C135" s="12"/>
      <c r="D135" s="28"/>
      <c r="E135" s="29"/>
      <c r="F135" s="29"/>
      <c r="G135" s="29"/>
      <c r="H135" s="12"/>
      <c r="I135" s="29"/>
      <c r="J135" s="12"/>
      <c r="K135" s="12"/>
      <c r="L135" s="28"/>
      <c r="M135" s="29"/>
      <c r="N135" s="29"/>
      <c r="O135" s="29"/>
      <c r="P135" s="30"/>
      <c r="Q135" s="30"/>
      <c r="R135" s="30"/>
      <c r="S135" s="30"/>
      <c r="T135" s="30"/>
    </row>
    <row r="136" ht="13.5" customHeight="1">
      <c r="A136" s="12"/>
      <c r="B136" s="12"/>
      <c r="C136" s="12"/>
      <c r="D136" s="28"/>
      <c r="E136" s="29"/>
      <c r="F136" s="29"/>
      <c r="G136" s="29"/>
      <c r="H136" s="12"/>
      <c r="I136" s="29"/>
      <c r="J136" s="12"/>
      <c r="K136" s="12"/>
      <c r="L136" s="28"/>
      <c r="M136" s="29"/>
      <c r="N136" s="29"/>
      <c r="O136" s="29"/>
      <c r="P136" s="30"/>
      <c r="Q136" s="30"/>
      <c r="R136" s="30"/>
      <c r="S136" s="30"/>
      <c r="T136" s="30"/>
    </row>
    <row r="137" ht="13.5" customHeight="1">
      <c r="A137" s="12"/>
      <c r="B137" s="12"/>
      <c r="C137" s="12"/>
      <c r="D137" s="28"/>
      <c r="E137" s="29"/>
      <c r="F137" s="29"/>
      <c r="G137" s="29"/>
      <c r="H137" s="12"/>
      <c r="I137" s="29"/>
      <c r="J137" s="12"/>
      <c r="K137" s="12"/>
      <c r="L137" s="28"/>
      <c r="M137" s="29"/>
      <c r="N137" s="29"/>
      <c r="O137" s="29"/>
      <c r="P137" s="30"/>
      <c r="Q137" s="30"/>
      <c r="R137" s="30"/>
      <c r="S137" s="30"/>
      <c r="T137" s="30"/>
    </row>
    <row r="138" ht="13.5" customHeight="1">
      <c r="A138" s="12"/>
      <c r="B138" s="12"/>
      <c r="C138" s="12"/>
      <c r="D138" s="28"/>
      <c r="E138" s="29"/>
      <c r="F138" s="29"/>
      <c r="G138" s="29"/>
      <c r="H138" s="12"/>
      <c r="I138" s="29"/>
      <c r="J138" s="12"/>
      <c r="K138" s="12"/>
      <c r="L138" s="28"/>
      <c r="M138" s="29"/>
      <c r="N138" s="29"/>
      <c r="O138" s="29"/>
      <c r="P138" s="30"/>
      <c r="Q138" s="30"/>
      <c r="R138" s="30"/>
      <c r="S138" s="30"/>
      <c r="T138" s="30"/>
    </row>
    <row r="139" ht="13.5" customHeight="1">
      <c r="A139" s="12"/>
      <c r="B139" s="12"/>
      <c r="C139" s="12"/>
      <c r="D139" s="28"/>
      <c r="E139" s="29"/>
      <c r="F139" s="29"/>
      <c r="G139" s="29"/>
      <c r="H139" s="12"/>
      <c r="I139" s="29"/>
      <c r="J139" s="12"/>
      <c r="K139" s="12"/>
      <c r="L139" s="28"/>
      <c r="M139" s="29"/>
      <c r="N139" s="29"/>
      <c r="O139" s="29"/>
      <c r="P139" s="30"/>
      <c r="Q139" s="30"/>
      <c r="R139" s="30"/>
      <c r="S139" s="30"/>
      <c r="T139" s="30"/>
    </row>
    <row r="140" ht="13.5" customHeight="1">
      <c r="A140" s="12"/>
      <c r="B140" s="12"/>
      <c r="C140" s="12"/>
      <c r="D140" s="28"/>
      <c r="E140" s="29"/>
      <c r="F140" s="29"/>
      <c r="G140" s="29"/>
      <c r="H140" s="12"/>
      <c r="I140" s="29"/>
      <c r="J140" s="12"/>
      <c r="K140" s="12"/>
      <c r="L140" s="28"/>
      <c r="M140" s="29"/>
      <c r="N140" s="29"/>
      <c r="O140" s="29"/>
      <c r="P140" s="30"/>
      <c r="Q140" s="30"/>
      <c r="R140" s="30"/>
      <c r="S140" s="30"/>
      <c r="T140" s="30"/>
    </row>
    <row r="141" ht="13.5" customHeight="1">
      <c r="A141" s="12"/>
      <c r="B141" s="12"/>
      <c r="C141" s="12"/>
      <c r="D141" s="28"/>
      <c r="E141" s="29"/>
      <c r="F141" s="29"/>
      <c r="G141" s="29"/>
      <c r="H141" s="12"/>
      <c r="I141" s="29"/>
      <c r="J141" s="12"/>
      <c r="K141" s="12"/>
      <c r="L141" s="28"/>
      <c r="M141" s="29"/>
      <c r="N141" s="29"/>
      <c r="O141" s="29"/>
      <c r="P141" s="30"/>
      <c r="Q141" s="30"/>
      <c r="R141" s="30"/>
      <c r="S141" s="30"/>
      <c r="T141" s="30"/>
    </row>
    <row r="142" ht="13.5" customHeight="1">
      <c r="A142" s="12"/>
      <c r="B142" s="12"/>
      <c r="C142" s="12"/>
      <c r="D142" s="28"/>
      <c r="E142" s="29"/>
      <c r="F142" s="29"/>
      <c r="G142" s="29"/>
      <c r="H142" s="12"/>
      <c r="I142" s="29"/>
      <c r="J142" s="12"/>
      <c r="K142" s="12"/>
      <c r="L142" s="28"/>
      <c r="M142" s="29"/>
      <c r="N142" s="29"/>
      <c r="O142" s="29"/>
      <c r="P142" s="30"/>
      <c r="Q142" s="30"/>
      <c r="R142" s="30"/>
      <c r="S142" s="30"/>
      <c r="T142" s="30"/>
    </row>
    <row r="143" ht="13.5" customHeight="1">
      <c r="A143" s="12"/>
      <c r="B143" s="12"/>
      <c r="C143" s="12"/>
      <c r="D143" s="28"/>
      <c r="E143" s="29"/>
      <c r="F143" s="29"/>
      <c r="G143" s="29"/>
      <c r="H143" s="12"/>
      <c r="I143" s="29"/>
      <c r="J143" s="12"/>
      <c r="K143" s="12"/>
      <c r="L143" s="28"/>
      <c r="M143" s="29"/>
      <c r="N143" s="29"/>
      <c r="O143" s="29"/>
      <c r="P143" s="30"/>
      <c r="Q143" s="30"/>
      <c r="R143" s="30"/>
      <c r="S143" s="30"/>
      <c r="T143" s="30"/>
    </row>
    <row r="144" ht="13.5" customHeight="1">
      <c r="A144" s="12"/>
      <c r="B144" s="12"/>
      <c r="C144" s="12"/>
      <c r="D144" s="28"/>
      <c r="E144" s="29"/>
      <c r="F144" s="29"/>
      <c r="G144" s="29"/>
      <c r="H144" s="12"/>
      <c r="I144" s="29"/>
      <c r="J144" s="12"/>
      <c r="K144" s="12"/>
      <c r="L144" s="28"/>
      <c r="M144" s="29"/>
      <c r="N144" s="29"/>
      <c r="O144" s="29"/>
      <c r="P144" s="30"/>
      <c r="Q144" s="30"/>
      <c r="R144" s="30"/>
      <c r="S144" s="30"/>
      <c r="T144" s="30"/>
    </row>
    <row r="145" ht="13.5" customHeight="1">
      <c r="A145" s="12"/>
      <c r="B145" s="12"/>
      <c r="C145" s="12"/>
      <c r="D145" s="28"/>
      <c r="E145" s="29"/>
      <c r="F145" s="29"/>
      <c r="G145" s="29"/>
      <c r="H145" s="12"/>
      <c r="I145" s="29"/>
      <c r="J145" s="12"/>
      <c r="K145" s="12"/>
      <c r="L145" s="28"/>
      <c r="M145" s="29"/>
      <c r="N145" s="29"/>
      <c r="O145" s="29"/>
      <c r="P145" s="30"/>
      <c r="Q145" s="30"/>
      <c r="R145" s="30"/>
      <c r="S145" s="30"/>
      <c r="T145" s="30"/>
    </row>
    <row r="146" ht="13.5" customHeight="1">
      <c r="A146" s="12"/>
      <c r="B146" s="12"/>
      <c r="C146" s="12"/>
      <c r="D146" s="28"/>
      <c r="E146" s="29"/>
      <c r="F146" s="29"/>
      <c r="G146" s="29"/>
      <c r="H146" s="12"/>
      <c r="I146" s="29"/>
      <c r="J146" s="12"/>
      <c r="K146" s="12"/>
      <c r="L146" s="28"/>
      <c r="M146" s="29"/>
      <c r="N146" s="29"/>
      <c r="O146" s="29"/>
      <c r="P146" s="30"/>
      <c r="Q146" s="30"/>
      <c r="R146" s="30"/>
      <c r="S146" s="30"/>
      <c r="T146" s="30"/>
    </row>
    <row r="147" ht="13.5" customHeight="1">
      <c r="A147" s="12"/>
      <c r="B147" s="12"/>
      <c r="C147" s="12"/>
      <c r="D147" s="28"/>
      <c r="E147" s="29"/>
      <c r="F147" s="29"/>
      <c r="G147" s="29"/>
      <c r="H147" s="12"/>
      <c r="I147" s="29"/>
      <c r="J147" s="12"/>
      <c r="K147" s="12"/>
      <c r="L147" s="28"/>
      <c r="M147" s="29"/>
      <c r="N147" s="29"/>
      <c r="O147" s="29"/>
      <c r="P147" s="30"/>
      <c r="Q147" s="30"/>
      <c r="R147" s="30"/>
      <c r="S147" s="30"/>
      <c r="T147" s="30"/>
    </row>
    <row r="148" ht="13.5" customHeight="1">
      <c r="A148" s="12"/>
      <c r="B148" s="12"/>
      <c r="C148" s="12"/>
      <c r="D148" s="28"/>
      <c r="E148" s="29"/>
      <c r="F148" s="29"/>
      <c r="G148" s="29"/>
      <c r="H148" s="12"/>
      <c r="I148" s="29"/>
      <c r="J148" s="12"/>
      <c r="K148" s="12"/>
      <c r="L148" s="28"/>
      <c r="M148" s="29"/>
      <c r="N148" s="29"/>
      <c r="O148" s="29"/>
      <c r="P148" s="30"/>
      <c r="Q148" s="30"/>
      <c r="R148" s="30"/>
      <c r="S148" s="30"/>
      <c r="T148" s="30"/>
    </row>
    <row r="149" ht="13.5" customHeight="1">
      <c r="A149" s="12"/>
      <c r="B149" s="12"/>
      <c r="C149" s="12"/>
      <c r="D149" s="28"/>
      <c r="E149" s="29"/>
      <c r="F149" s="29"/>
      <c r="G149" s="29"/>
      <c r="H149" s="12"/>
      <c r="I149" s="29"/>
      <c r="J149" s="12"/>
      <c r="K149" s="12"/>
      <c r="L149" s="28"/>
      <c r="M149" s="29"/>
      <c r="N149" s="29"/>
      <c r="O149" s="29"/>
      <c r="P149" s="30"/>
      <c r="Q149" s="30"/>
      <c r="R149" s="30"/>
      <c r="S149" s="30"/>
      <c r="T149" s="30"/>
    </row>
    <row r="150" ht="13.5" customHeight="1">
      <c r="A150" s="12"/>
      <c r="B150" s="12"/>
      <c r="C150" s="12"/>
      <c r="D150" s="28"/>
      <c r="E150" s="29"/>
      <c r="F150" s="29"/>
      <c r="G150" s="29"/>
      <c r="H150" s="12"/>
      <c r="I150" s="29"/>
      <c r="J150" s="12"/>
      <c r="K150" s="12"/>
      <c r="L150" s="28"/>
      <c r="M150" s="29"/>
      <c r="N150" s="29"/>
      <c r="O150" s="29"/>
      <c r="P150" s="30"/>
      <c r="Q150" s="30"/>
      <c r="R150" s="30"/>
      <c r="S150" s="30"/>
      <c r="T150" s="30"/>
    </row>
    <row r="151" ht="13.5" customHeight="1">
      <c r="A151" s="12"/>
      <c r="B151" s="12"/>
      <c r="C151" s="12"/>
      <c r="D151" s="28"/>
      <c r="E151" s="29"/>
      <c r="F151" s="29"/>
      <c r="G151" s="29"/>
      <c r="H151" s="12"/>
      <c r="I151" s="29"/>
      <c r="J151" s="12"/>
      <c r="K151" s="12"/>
      <c r="L151" s="28"/>
      <c r="M151" s="29"/>
      <c r="N151" s="29"/>
      <c r="O151" s="29"/>
      <c r="P151" s="30"/>
      <c r="Q151" s="30"/>
      <c r="R151" s="30"/>
      <c r="S151" s="30"/>
      <c r="T151" s="30"/>
    </row>
    <row r="152" ht="13.5" customHeight="1">
      <c r="A152" s="12"/>
      <c r="B152" s="12"/>
      <c r="C152" s="12"/>
      <c r="D152" s="28"/>
      <c r="E152" s="29"/>
      <c r="F152" s="29"/>
      <c r="G152" s="29"/>
      <c r="H152" s="12"/>
      <c r="I152" s="29"/>
      <c r="J152" s="12"/>
      <c r="K152" s="12"/>
      <c r="L152" s="28"/>
      <c r="M152" s="29"/>
      <c r="N152" s="29"/>
      <c r="O152" s="29"/>
      <c r="P152" s="30"/>
      <c r="Q152" s="30"/>
      <c r="R152" s="30"/>
      <c r="S152" s="30"/>
      <c r="T152" s="30"/>
    </row>
    <row r="153" ht="13.5" customHeight="1">
      <c r="A153" s="12"/>
      <c r="B153" s="12"/>
      <c r="C153" s="12"/>
      <c r="D153" s="28"/>
      <c r="E153" s="29"/>
      <c r="F153" s="29"/>
      <c r="G153" s="29"/>
      <c r="H153" s="12"/>
      <c r="I153" s="29"/>
      <c r="J153" s="12"/>
      <c r="K153" s="12"/>
      <c r="L153" s="28"/>
      <c r="M153" s="29"/>
      <c r="N153" s="29"/>
      <c r="O153" s="29"/>
      <c r="P153" s="30"/>
      <c r="Q153" s="30"/>
      <c r="R153" s="30"/>
      <c r="S153" s="30"/>
      <c r="T153" s="30"/>
    </row>
    <row r="154" ht="13.5" customHeight="1">
      <c r="A154" s="12"/>
      <c r="B154" s="12"/>
      <c r="C154" s="12"/>
      <c r="D154" s="28"/>
      <c r="E154" s="29"/>
      <c r="F154" s="29"/>
      <c r="G154" s="29"/>
      <c r="H154" s="12"/>
      <c r="I154" s="29"/>
      <c r="J154" s="12"/>
      <c r="K154" s="12"/>
      <c r="L154" s="28"/>
      <c r="M154" s="29"/>
      <c r="N154" s="29"/>
      <c r="O154" s="29"/>
      <c r="P154" s="30"/>
      <c r="Q154" s="30"/>
      <c r="R154" s="30"/>
      <c r="S154" s="30"/>
      <c r="T154" s="30"/>
    </row>
    <row r="155" ht="13.5" customHeight="1">
      <c r="A155" s="12"/>
      <c r="B155" s="12"/>
      <c r="C155" s="12"/>
      <c r="D155" s="28"/>
      <c r="E155" s="29"/>
      <c r="F155" s="29"/>
      <c r="G155" s="29"/>
      <c r="H155" s="12"/>
      <c r="I155" s="29"/>
      <c r="J155" s="12"/>
      <c r="K155" s="12"/>
      <c r="L155" s="28"/>
      <c r="M155" s="29"/>
      <c r="N155" s="29"/>
      <c r="O155" s="29"/>
      <c r="P155" s="30"/>
      <c r="Q155" s="30"/>
      <c r="R155" s="30"/>
      <c r="S155" s="30"/>
      <c r="T155" s="30"/>
    </row>
    <row r="156" ht="13.5" customHeight="1">
      <c r="A156" s="12"/>
      <c r="B156" s="12"/>
      <c r="C156" s="12"/>
      <c r="D156" s="28"/>
      <c r="E156" s="29"/>
      <c r="F156" s="29"/>
      <c r="G156" s="29"/>
      <c r="H156" s="12"/>
      <c r="I156" s="29"/>
      <c r="J156" s="12"/>
      <c r="K156" s="12"/>
      <c r="L156" s="28"/>
      <c r="M156" s="29"/>
      <c r="N156" s="29"/>
      <c r="O156" s="29"/>
      <c r="P156" s="30"/>
      <c r="Q156" s="30"/>
      <c r="R156" s="30"/>
      <c r="S156" s="30"/>
      <c r="T156" s="30"/>
    </row>
    <row r="157" ht="13.5" customHeight="1">
      <c r="A157" s="12"/>
      <c r="B157" s="12"/>
      <c r="C157" s="12"/>
      <c r="D157" s="28"/>
      <c r="E157" s="29"/>
      <c r="F157" s="29"/>
      <c r="G157" s="29"/>
      <c r="H157" s="12"/>
      <c r="I157" s="29"/>
      <c r="J157" s="12"/>
      <c r="K157" s="12"/>
      <c r="L157" s="28"/>
      <c r="M157" s="29"/>
      <c r="N157" s="29"/>
      <c r="O157" s="29"/>
      <c r="P157" s="30"/>
      <c r="Q157" s="30"/>
      <c r="R157" s="30"/>
      <c r="S157" s="30"/>
      <c r="T157" s="30"/>
    </row>
    <row r="158" ht="13.5" customHeight="1">
      <c r="A158" s="12"/>
      <c r="B158" s="12"/>
      <c r="C158" s="12"/>
      <c r="D158" s="28"/>
      <c r="E158" s="29"/>
      <c r="F158" s="29"/>
      <c r="G158" s="29"/>
      <c r="H158" s="12"/>
      <c r="I158" s="29"/>
      <c r="J158" s="12"/>
      <c r="K158" s="12"/>
      <c r="L158" s="28"/>
      <c r="M158" s="29"/>
      <c r="N158" s="29"/>
      <c r="O158" s="29"/>
      <c r="P158" s="30"/>
      <c r="Q158" s="30"/>
      <c r="R158" s="30"/>
      <c r="S158" s="30"/>
      <c r="T158" s="30"/>
    </row>
    <row r="159" ht="13.5" customHeight="1">
      <c r="A159" s="12"/>
      <c r="B159" s="12"/>
      <c r="C159" s="12"/>
      <c r="D159" s="28"/>
      <c r="E159" s="29"/>
      <c r="F159" s="29"/>
      <c r="G159" s="29"/>
      <c r="H159" s="12"/>
      <c r="I159" s="29"/>
      <c r="J159" s="12"/>
      <c r="K159" s="12"/>
      <c r="L159" s="28"/>
      <c r="M159" s="29"/>
      <c r="N159" s="29"/>
      <c r="O159" s="29"/>
      <c r="P159" s="30"/>
      <c r="Q159" s="30"/>
      <c r="R159" s="30"/>
      <c r="S159" s="30"/>
      <c r="T159" s="30"/>
    </row>
    <row r="160" ht="13.5" customHeight="1">
      <c r="A160" s="12"/>
      <c r="B160" s="12"/>
      <c r="C160" s="12"/>
      <c r="D160" s="28"/>
      <c r="E160" s="29"/>
      <c r="F160" s="29"/>
      <c r="G160" s="29"/>
      <c r="H160" s="12"/>
      <c r="I160" s="29"/>
      <c r="J160" s="12"/>
      <c r="K160" s="12"/>
      <c r="L160" s="28"/>
      <c r="M160" s="29"/>
      <c r="N160" s="29"/>
      <c r="O160" s="29"/>
      <c r="P160" s="30"/>
      <c r="Q160" s="30"/>
      <c r="R160" s="30"/>
      <c r="S160" s="30"/>
      <c r="T160" s="30"/>
    </row>
    <row r="161" ht="13.5" customHeight="1">
      <c r="A161" s="12"/>
      <c r="B161" s="12"/>
      <c r="C161" s="12"/>
      <c r="D161" s="28"/>
      <c r="E161" s="29"/>
      <c r="F161" s="29"/>
      <c r="G161" s="29"/>
      <c r="H161" s="12"/>
      <c r="I161" s="29"/>
      <c r="J161" s="12"/>
      <c r="K161" s="12"/>
      <c r="L161" s="28"/>
      <c r="M161" s="29"/>
      <c r="N161" s="29"/>
      <c r="O161" s="29"/>
      <c r="P161" s="30"/>
      <c r="Q161" s="30"/>
      <c r="R161" s="30"/>
      <c r="S161" s="30"/>
      <c r="T161" s="30"/>
    </row>
    <row r="162" ht="13.5" customHeight="1">
      <c r="A162" s="12"/>
      <c r="B162" s="12"/>
      <c r="C162" s="12"/>
      <c r="D162" s="28"/>
      <c r="E162" s="29"/>
      <c r="F162" s="29"/>
      <c r="G162" s="29"/>
      <c r="H162" s="12"/>
      <c r="I162" s="29"/>
      <c r="J162" s="12"/>
      <c r="K162" s="12"/>
      <c r="L162" s="28"/>
      <c r="M162" s="29"/>
      <c r="N162" s="29"/>
      <c r="O162" s="29"/>
      <c r="P162" s="30"/>
      <c r="Q162" s="30"/>
      <c r="R162" s="30"/>
      <c r="S162" s="30"/>
      <c r="T162" s="30"/>
    </row>
    <row r="163" ht="13.5" customHeight="1">
      <c r="A163" s="12"/>
      <c r="B163" s="12"/>
      <c r="C163" s="12"/>
      <c r="D163" s="28"/>
      <c r="E163" s="29"/>
      <c r="F163" s="29"/>
      <c r="G163" s="29"/>
      <c r="H163" s="12"/>
      <c r="I163" s="29"/>
      <c r="J163" s="12"/>
      <c r="K163" s="12"/>
      <c r="L163" s="28"/>
      <c r="M163" s="29"/>
      <c r="N163" s="29"/>
      <c r="O163" s="29"/>
      <c r="P163" s="30"/>
      <c r="Q163" s="30"/>
      <c r="R163" s="30"/>
      <c r="S163" s="30"/>
      <c r="T163" s="30"/>
    </row>
    <row r="164" ht="13.5" customHeight="1">
      <c r="A164" s="12"/>
      <c r="B164" s="12"/>
      <c r="C164" s="12"/>
      <c r="D164" s="28"/>
      <c r="E164" s="29"/>
      <c r="F164" s="29"/>
      <c r="G164" s="29"/>
      <c r="H164" s="12"/>
      <c r="I164" s="29"/>
      <c r="J164" s="12"/>
      <c r="K164" s="12"/>
      <c r="L164" s="28"/>
      <c r="M164" s="29"/>
      <c r="N164" s="29"/>
      <c r="O164" s="29"/>
      <c r="P164" s="30"/>
      <c r="Q164" s="30"/>
      <c r="R164" s="30"/>
      <c r="S164" s="30"/>
      <c r="T164" s="30"/>
    </row>
    <row r="165" ht="13.5" customHeight="1">
      <c r="A165" s="12"/>
      <c r="B165" s="12"/>
      <c r="C165" s="12"/>
      <c r="D165" s="28"/>
      <c r="E165" s="29"/>
      <c r="F165" s="29"/>
      <c r="G165" s="29"/>
      <c r="H165" s="12"/>
      <c r="I165" s="29"/>
      <c r="J165" s="12"/>
      <c r="K165" s="12"/>
      <c r="L165" s="28"/>
      <c r="M165" s="29"/>
      <c r="N165" s="29"/>
      <c r="O165" s="29"/>
      <c r="P165" s="30"/>
      <c r="Q165" s="30"/>
      <c r="R165" s="30"/>
      <c r="S165" s="30"/>
      <c r="T165" s="30"/>
    </row>
    <row r="166" ht="13.5" customHeight="1">
      <c r="A166" s="12"/>
      <c r="B166" s="12"/>
      <c r="C166" s="12"/>
      <c r="D166" s="28"/>
      <c r="E166" s="29"/>
      <c r="F166" s="29"/>
      <c r="G166" s="29"/>
      <c r="H166" s="12"/>
      <c r="I166" s="29"/>
      <c r="J166" s="12"/>
      <c r="K166" s="12"/>
      <c r="L166" s="28"/>
      <c r="M166" s="29"/>
      <c r="N166" s="29"/>
      <c r="O166" s="29"/>
      <c r="P166" s="30"/>
      <c r="Q166" s="30"/>
      <c r="R166" s="30"/>
      <c r="S166" s="30"/>
      <c r="T166" s="30"/>
    </row>
    <row r="167" ht="13.5" customHeight="1">
      <c r="A167" s="12"/>
      <c r="B167" s="12"/>
      <c r="C167" s="12"/>
      <c r="D167" s="28"/>
      <c r="E167" s="29"/>
      <c r="F167" s="29"/>
      <c r="G167" s="29"/>
      <c r="H167" s="12"/>
      <c r="I167" s="29"/>
      <c r="J167" s="12"/>
      <c r="K167" s="12"/>
      <c r="L167" s="28"/>
      <c r="M167" s="29"/>
      <c r="N167" s="29"/>
      <c r="O167" s="29"/>
      <c r="P167" s="30"/>
      <c r="Q167" s="30"/>
      <c r="R167" s="30"/>
      <c r="S167" s="30"/>
      <c r="T167" s="30"/>
    </row>
    <row r="168" ht="13.5" customHeight="1">
      <c r="A168" s="12"/>
      <c r="B168" s="12"/>
      <c r="C168" s="12"/>
      <c r="D168" s="28"/>
      <c r="E168" s="29"/>
      <c r="F168" s="29"/>
      <c r="G168" s="29"/>
      <c r="H168" s="12"/>
      <c r="I168" s="29"/>
      <c r="J168" s="12"/>
      <c r="K168" s="12"/>
      <c r="L168" s="28"/>
      <c r="M168" s="29"/>
      <c r="N168" s="29"/>
      <c r="O168" s="29"/>
      <c r="P168" s="30"/>
      <c r="Q168" s="30"/>
      <c r="R168" s="30"/>
      <c r="S168" s="30"/>
      <c r="T168" s="30"/>
    </row>
    <row r="169" ht="13.5" customHeight="1">
      <c r="A169" s="12"/>
      <c r="B169" s="12"/>
      <c r="C169" s="12"/>
      <c r="D169" s="28"/>
      <c r="E169" s="29"/>
      <c r="F169" s="29"/>
      <c r="G169" s="29"/>
      <c r="H169" s="12"/>
      <c r="I169" s="29"/>
      <c r="J169" s="12"/>
      <c r="K169" s="12"/>
      <c r="L169" s="28"/>
      <c r="M169" s="29"/>
      <c r="N169" s="29"/>
      <c r="O169" s="29"/>
      <c r="P169" s="30"/>
      <c r="Q169" s="30"/>
      <c r="R169" s="30"/>
      <c r="S169" s="30"/>
      <c r="T169" s="30"/>
    </row>
    <row r="170" ht="13.5" customHeight="1">
      <c r="A170" s="12"/>
      <c r="B170" s="12"/>
      <c r="C170" s="12"/>
      <c r="D170" s="28"/>
      <c r="E170" s="29"/>
      <c r="F170" s="29"/>
      <c r="G170" s="29"/>
      <c r="H170" s="12"/>
      <c r="I170" s="29"/>
      <c r="J170" s="12"/>
      <c r="K170" s="12"/>
      <c r="L170" s="28"/>
      <c r="M170" s="29"/>
      <c r="N170" s="29"/>
      <c r="O170" s="29"/>
      <c r="P170" s="30"/>
      <c r="Q170" s="30"/>
      <c r="R170" s="30"/>
      <c r="S170" s="30"/>
      <c r="T170" s="30"/>
    </row>
    <row r="171" ht="13.5" customHeight="1">
      <c r="A171" s="12"/>
      <c r="B171" s="12"/>
      <c r="C171" s="12"/>
      <c r="D171" s="28"/>
      <c r="E171" s="29"/>
      <c r="F171" s="29"/>
      <c r="G171" s="29"/>
      <c r="H171" s="12"/>
      <c r="I171" s="29"/>
      <c r="J171" s="12"/>
      <c r="K171" s="12"/>
      <c r="L171" s="28"/>
      <c r="M171" s="29"/>
      <c r="N171" s="29"/>
      <c r="O171" s="29"/>
      <c r="P171" s="30"/>
      <c r="Q171" s="30"/>
      <c r="R171" s="30"/>
      <c r="S171" s="30"/>
      <c r="T171" s="30"/>
    </row>
    <row r="172" ht="13.5" customHeight="1">
      <c r="A172" s="12"/>
      <c r="B172" s="12"/>
      <c r="C172" s="12"/>
      <c r="D172" s="28"/>
      <c r="E172" s="29"/>
      <c r="F172" s="29"/>
      <c r="G172" s="29"/>
      <c r="H172" s="12"/>
      <c r="I172" s="29"/>
      <c r="J172" s="12"/>
      <c r="K172" s="12"/>
      <c r="L172" s="28"/>
      <c r="M172" s="29"/>
      <c r="N172" s="29"/>
      <c r="O172" s="29"/>
      <c r="P172" s="30"/>
      <c r="Q172" s="30"/>
      <c r="R172" s="30"/>
      <c r="S172" s="30"/>
      <c r="T172" s="30"/>
    </row>
    <row r="173" ht="13.5" customHeight="1">
      <c r="A173" s="12"/>
      <c r="B173" s="12"/>
      <c r="C173" s="12"/>
      <c r="D173" s="28"/>
      <c r="E173" s="29"/>
      <c r="F173" s="29"/>
      <c r="G173" s="29"/>
      <c r="H173" s="12"/>
      <c r="I173" s="29"/>
      <c r="J173" s="12"/>
      <c r="K173" s="12"/>
      <c r="L173" s="28"/>
      <c r="M173" s="29"/>
      <c r="N173" s="29"/>
      <c r="O173" s="29"/>
      <c r="P173" s="30"/>
      <c r="Q173" s="30"/>
      <c r="R173" s="30"/>
      <c r="S173" s="30"/>
      <c r="T173" s="30"/>
    </row>
    <row r="174" ht="13.5" customHeight="1">
      <c r="A174" s="12"/>
      <c r="B174" s="12"/>
      <c r="C174" s="12"/>
      <c r="D174" s="28"/>
      <c r="E174" s="29"/>
      <c r="F174" s="29"/>
      <c r="G174" s="29"/>
      <c r="H174" s="12"/>
      <c r="I174" s="29"/>
      <c r="J174" s="12"/>
      <c r="K174" s="12"/>
      <c r="L174" s="28"/>
      <c r="M174" s="29"/>
      <c r="N174" s="29"/>
      <c r="O174" s="29"/>
      <c r="P174" s="30"/>
      <c r="Q174" s="30"/>
      <c r="R174" s="30"/>
      <c r="S174" s="30"/>
      <c r="T174" s="30"/>
    </row>
    <row r="175" ht="13.5" customHeight="1">
      <c r="A175" s="12"/>
      <c r="B175" s="12"/>
      <c r="C175" s="12"/>
      <c r="D175" s="28"/>
      <c r="E175" s="29"/>
      <c r="F175" s="29"/>
      <c r="G175" s="29"/>
      <c r="H175" s="12"/>
      <c r="I175" s="29"/>
      <c r="J175" s="12"/>
      <c r="K175" s="12"/>
      <c r="L175" s="28"/>
      <c r="M175" s="29"/>
      <c r="N175" s="29"/>
      <c r="O175" s="29"/>
      <c r="P175" s="30"/>
      <c r="Q175" s="30"/>
      <c r="R175" s="30"/>
      <c r="S175" s="30"/>
      <c r="T175" s="30"/>
    </row>
    <row r="176" ht="13.5" customHeight="1">
      <c r="A176" s="12"/>
      <c r="B176" s="12"/>
      <c r="C176" s="12"/>
      <c r="D176" s="28"/>
      <c r="E176" s="29"/>
      <c r="F176" s="29"/>
      <c r="G176" s="29"/>
      <c r="H176" s="12"/>
      <c r="I176" s="29"/>
      <c r="J176" s="12"/>
      <c r="K176" s="12"/>
      <c r="L176" s="28"/>
      <c r="M176" s="29"/>
      <c r="N176" s="29"/>
      <c r="O176" s="29"/>
      <c r="P176" s="30"/>
      <c r="Q176" s="30"/>
      <c r="R176" s="30"/>
      <c r="S176" s="30"/>
      <c r="T176" s="30"/>
    </row>
    <row r="177" ht="13.5" customHeight="1">
      <c r="A177" s="12"/>
      <c r="B177" s="12"/>
      <c r="C177" s="12"/>
      <c r="D177" s="28"/>
      <c r="E177" s="29"/>
      <c r="F177" s="29"/>
      <c r="G177" s="29"/>
      <c r="H177" s="12"/>
      <c r="I177" s="29"/>
      <c r="J177" s="12"/>
      <c r="K177" s="12"/>
      <c r="L177" s="28"/>
      <c r="M177" s="29"/>
      <c r="N177" s="29"/>
      <c r="O177" s="29"/>
      <c r="P177" s="30"/>
      <c r="Q177" s="30"/>
      <c r="R177" s="30"/>
      <c r="S177" s="30"/>
      <c r="T177" s="30"/>
    </row>
    <row r="178" ht="13.5" customHeight="1">
      <c r="A178" s="12"/>
      <c r="B178" s="12"/>
      <c r="C178" s="12"/>
      <c r="D178" s="28"/>
      <c r="E178" s="29"/>
      <c r="F178" s="29"/>
      <c r="G178" s="29"/>
      <c r="H178" s="12"/>
      <c r="I178" s="29"/>
      <c r="J178" s="12"/>
      <c r="K178" s="12"/>
      <c r="L178" s="28"/>
      <c r="M178" s="29"/>
      <c r="N178" s="29"/>
      <c r="O178" s="29"/>
      <c r="P178" s="30"/>
      <c r="Q178" s="30"/>
      <c r="R178" s="30"/>
      <c r="S178" s="30"/>
      <c r="T178" s="30"/>
    </row>
    <row r="179" ht="13.5" customHeight="1">
      <c r="A179" s="12"/>
      <c r="B179" s="12"/>
      <c r="C179" s="12"/>
      <c r="D179" s="28"/>
      <c r="E179" s="29"/>
      <c r="F179" s="29"/>
      <c r="G179" s="29"/>
      <c r="H179" s="12"/>
      <c r="I179" s="29"/>
      <c r="J179" s="12"/>
      <c r="K179" s="12"/>
      <c r="L179" s="28"/>
      <c r="M179" s="29"/>
      <c r="N179" s="29"/>
      <c r="O179" s="29"/>
      <c r="P179" s="30"/>
      <c r="Q179" s="30"/>
      <c r="R179" s="30"/>
      <c r="S179" s="30"/>
      <c r="T179" s="30"/>
    </row>
    <row r="180" ht="13.5" customHeight="1">
      <c r="A180" s="12"/>
      <c r="B180" s="12"/>
      <c r="C180" s="12"/>
      <c r="D180" s="28"/>
      <c r="E180" s="29"/>
      <c r="F180" s="29"/>
      <c r="G180" s="29"/>
      <c r="H180" s="12"/>
      <c r="I180" s="29"/>
      <c r="J180" s="12"/>
      <c r="K180" s="12"/>
      <c r="L180" s="28"/>
      <c r="M180" s="29"/>
      <c r="N180" s="29"/>
      <c r="O180" s="29"/>
      <c r="P180" s="30"/>
      <c r="Q180" s="30"/>
      <c r="R180" s="30"/>
      <c r="S180" s="30"/>
      <c r="T180" s="30"/>
    </row>
    <row r="181" ht="13.5" customHeight="1">
      <c r="A181" s="12"/>
      <c r="B181" s="12"/>
      <c r="C181" s="12"/>
      <c r="D181" s="28"/>
      <c r="E181" s="29"/>
      <c r="F181" s="29"/>
      <c r="G181" s="29"/>
      <c r="H181" s="12"/>
      <c r="I181" s="29"/>
      <c r="J181" s="12"/>
      <c r="K181" s="12"/>
      <c r="L181" s="28"/>
      <c r="M181" s="29"/>
      <c r="N181" s="29"/>
      <c r="O181" s="29"/>
      <c r="P181" s="30"/>
      <c r="Q181" s="30"/>
      <c r="R181" s="30"/>
      <c r="S181" s="30"/>
      <c r="T181" s="30"/>
    </row>
    <row r="182" ht="13.5" customHeight="1">
      <c r="A182" s="12"/>
      <c r="B182" s="12"/>
      <c r="C182" s="12"/>
      <c r="D182" s="28"/>
      <c r="E182" s="29"/>
      <c r="F182" s="29"/>
      <c r="G182" s="29"/>
      <c r="H182" s="12"/>
      <c r="I182" s="29"/>
      <c r="J182" s="12"/>
      <c r="K182" s="12"/>
      <c r="L182" s="28"/>
      <c r="M182" s="29"/>
      <c r="N182" s="29"/>
      <c r="O182" s="29"/>
      <c r="P182" s="30"/>
      <c r="Q182" s="30"/>
      <c r="R182" s="30"/>
      <c r="S182" s="30"/>
      <c r="T182" s="30"/>
    </row>
    <row r="183" ht="13.5" customHeight="1">
      <c r="A183" s="12"/>
      <c r="B183" s="12"/>
      <c r="C183" s="12"/>
      <c r="D183" s="28"/>
      <c r="E183" s="29"/>
      <c r="F183" s="29"/>
      <c r="G183" s="29"/>
      <c r="H183" s="12"/>
      <c r="I183" s="29"/>
      <c r="J183" s="12"/>
      <c r="K183" s="12"/>
      <c r="L183" s="28"/>
      <c r="M183" s="29"/>
      <c r="N183" s="29"/>
      <c r="O183" s="29"/>
      <c r="P183" s="30"/>
      <c r="Q183" s="30"/>
      <c r="R183" s="30"/>
      <c r="S183" s="30"/>
      <c r="T183" s="30"/>
    </row>
    <row r="184" ht="13.5" customHeight="1">
      <c r="A184" s="12"/>
      <c r="B184" s="12"/>
      <c r="C184" s="12"/>
      <c r="D184" s="28"/>
      <c r="E184" s="29"/>
      <c r="F184" s="29"/>
      <c r="G184" s="29"/>
      <c r="H184" s="12"/>
      <c r="I184" s="29"/>
      <c r="J184" s="12"/>
      <c r="K184" s="12"/>
      <c r="L184" s="28"/>
      <c r="M184" s="29"/>
      <c r="N184" s="29"/>
      <c r="O184" s="29"/>
      <c r="P184" s="30"/>
      <c r="Q184" s="30"/>
      <c r="R184" s="30"/>
      <c r="S184" s="30"/>
      <c r="T184" s="30"/>
    </row>
    <row r="185" ht="13.5" customHeight="1">
      <c r="A185" s="12"/>
      <c r="B185" s="12"/>
      <c r="C185" s="12"/>
      <c r="D185" s="28"/>
      <c r="E185" s="29"/>
      <c r="F185" s="29"/>
      <c r="G185" s="29"/>
      <c r="H185" s="12"/>
      <c r="I185" s="29"/>
      <c r="J185" s="12"/>
      <c r="K185" s="12"/>
      <c r="L185" s="28"/>
      <c r="M185" s="29"/>
      <c r="N185" s="29"/>
      <c r="O185" s="29"/>
      <c r="P185" s="30"/>
      <c r="Q185" s="30"/>
      <c r="R185" s="30"/>
      <c r="S185" s="30"/>
      <c r="T185" s="30"/>
    </row>
    <row r="186" ht="13.5" customHeight="1">
      <c r="A186" s="12"/>
      <c r="B186" s="12"/>
      <c r="C186" s="12"/>
      <c r="D186" s="28"/>
      <c r="E186" s="29"/>
      <c r="F186" s="29"/>
      <c r="G186" s="29"/>
      <c r="H186" s="12"/>
      <c r="I186" s="29"/>
      <c r="J186" s="12"/>
      <c r="K186" s="12"/>
      <c r="L186" s="28"/>
      <c r="M186" s="29"/>
      <c r="N186" s="29"/>
      <c r="O186" s="29"/>
      <c r="P186" s="30"/>
      <c r="Q186" s="30"/>
      <c r="R186" s="30"/>
      <c r="S186" s="30"/>
      <c r="T186" s="30"/>
    </row>
    <row r="187" ht="13.5" customHeight="1">
      <c r="A187" s="12"/>
      <c r="B187" s="12"/>
      <c r="C187" s="12"/>
      <c r="D187" s="28"/>
      <c r="E187" s="29"/>
      <c r="F187" s="29"/>
      <c r="G187" s="29"/>
      <c r="H187" s="12"/>
      <c r="I187" s="29"/>
      <c r="J187" s="12"/>
      <c r="K187" s="12"/>
      <c r="L187" s="28"/>
      <c r="M187" s="29"/>
      <c r="N187" s="29"/>
      <c r="O187" s="29"/>
      <c r="P187" s="30"/>
      <c r="Q187" s="30"/>
      <c r="R187" s="30"/>
      <c r="S187" s="30"/>
      <c r="T187" s="30"/>
    </row>
    <row r="188" ht="13.5" customHeight="1">
      <c r="A188" s="12"/>
      <c r="B188" s="12"/>
      <c r="C188" s="12"/>
      <c r="D188" s="28"/>
      <c r="E188" s="29"/>
      <c r="F188" s="29"/>
      <c r="G188" s="29"/>
      <c r="H188" s="12"/>
      <c r="I188" s="29"/>
      <c r="J188" s="12"/>
      <c r="K188" s="12"/>
      <c r="L188" s="28"/>
      <c r="M188" s="29"/>
      <c r="N188" s="29"/>
      <c r="O188" s="29"/>
      <c r="P188" s="30"/>
      <c r="Q188" s="30"/>
      <c r="R188" s="30"/>
      <c r="S188" s="30"/>
      <c r="T188" s="30"/>
    </row>
    <row r="189" ht="13.5" customHeight="1">
      <c r="A189" s="12"/>
      <c r="B189" s="12"/>
      <c r="C189" s="12"/>
      <c r="D189" s="28"/>
      <c r="E189" s="29"/>
      <c r="F189" s="29"/>
      <c r="G189" s="29"/>
      <c r="H189" s="12"/>
      <c r="I189" s="29"/>
      <c r="J189" s="12"/>
      <c r="K189" s="12"/>
      <c r="L189" s="28"/>
      <c r="M189" s="29"/>
      <c r="N189" s="29"/>
      <c r="O189" s="29"/>
      <c r="P189" s="30"/>
      <c r="Q189" s="30"/>
      <c r="R189" s="30"/>
      <c r="S189" s="30"/>
      <c r="T189" s="30"/>
    </row>
    <row r="190" ht="13.5" customHeight="1">
      <c r="A190" s="12"/>
      <c r="B190" s="12"/>
      <c r="C190" s="12"/>
      <c r="D190" s="28"/>
      <c r="E190" s="29"/>
      <c r="F190" s="29"/>
      <c r="G190" s="29"/>
      <c r="H190" s="12"/>
      <c r="I190" s="29"/>
      <c r="J190" s="12"/>
      <c r="K190" s="12"/>
      <c r="L190" s="28"/>
      <c r="M190" s="29"/>
      <c r="N190" s="29"/>
      <c r="O190" s="29"/>
      <c r="P190" s="30"/>
      <c r="Q190" s="30"/>
      <c r="R190" s="30"/>
      <c r="S190" s="30"/>
      <c r="T190" s="30"/>
    </row>
    <row r="191" ht="13.5" customHeight="1">
      <c r="A191" s="12"/>
      <c r="B191" s="12"/>
      <c r="C191" s="12"/>
      <c r="D191" s="28"/>
      <c r="E191" s="29"/>
      <c r="F191" s="29"/>
      <c r="G191" s="29"/>
      <c r="H191" s="12"/>
      <c r="I191" s="29"/>
      <c r="J191" s="12"/>
      <c r="K191" s="12"/>
      <c r="L191" s="28"/>
      <c r="M191" s="29"/>
      <c r="N191" s="29"/>
      <c r="O191" s="29"/>
      <c r="P191" s="30"/>
      <c r="Q191" s="30"/>
      <c r="R191" s="30"/>
      <c r="S191" s="30"/>
      <c r="T191" s="30"/>
    </row>
    <row r="192" ht="13.5" customHeight="1">
      <c r="A192" s="12"/>
      <c r="B192" s="12"/>
      <c r="C192" s="12"/>
      <c r="D192" s="28"/>
      <c r="E192" s="29"/>
      <c r="F192" s="29"/>
      <c r="G192" s="29"/>
      <c r="H192" s="12"/>
      <c r="I192" s="29"/>
      <c r="J192" s="12"/>
      <c r="K192" s="12"/>
      <c r="L192" s="28"/>
      <c r="M192" s="29"/>
      <c r="N192" s="29"/>
      <c r="O192" s="29"/>
      <c r="P192" s="30"/>
      <c r="Q192" s="30"/>
      <c r="R192" s="30"/>
      <c r="S192" s="30"/>
      <c r="T192" s="30"/>
    </row>
    <row r="193" ht="13.5" customHeight="1">
      <c r="A193" s="12"/>
      <c r="B193" s="12"/>
      <c r="C193" s="12"/>
      <c r="D193" s="28"/>
      <c r="E193" s="29"/>
      <c r="F193" s="29"/>
      <c r="G193" s="29"/>
      <c r="H193" s="12"/>
      <c r="I193" s="29"/>
      <c r="J193" s="12"/>
      <c r="K193" s="12"/>
      <c r="L193" s="28"/>
      <c r="M193" s="29"/>
      <c r="N193" s="29"/>
      <c r="O193" s="29"/>
      <c r="P193" s="30"/>
      <c r="Q193" s="30"/>
      <c r="R193" s="30"/>
      <c r="S193" s="30"/>
      <c r="T193" s="30"/>
    </row>
    <row r="194" ht="13.5" customHeight="1">
      <c r="A194" s="12"/>
      <c r="B194" s="12"/>
      <c r="C194" s="12"/>
      <c r="D194" s="28"/>
      <c r="E194" s="29"/>
      <c r="F194" s="29"/>
      <c r="G194" s="29"/>
      <c r="H194" s="12"/>
      <c r="I194" s="29"/>
      <c r="J194" s="12"/>
      <c r="K194" s="12"/>
      <c r="L194" s="28"/>
      <c r="M194" s="29"/>
      <c r="N194" s="29"/>
      <c r="O194" s="29"/>
      <c r="P194" s="30"/>
      <c r="Q194" s="30"/>
      <c r="R194" s="30"/>
      <c r="S194" s="30"/>
      <c r="T194" s="30"/>
    </row>
    <row r="195" ht="13.5" customHeight="1">
      <c r="A195" s="12"/>
      <c r="B195" s="12"/>
      <c r="C195" s="12"/>
      <c r="D195" s="28"/>
      <c r="E195" s="29"/>
      <c r="F195" s="29"/>
      <c r="G195" s="29"/>
      <c r="H195" s="12"/>
      <c r="I195" s="29"/>
      <c r="J195" s="12"/>
      <c r="K195" s="12"/>
      <c r="L195" s="28"/>
      <c r="M195" s="29"/>
      <c r="N195" s="29"/>
      <c r="O195" s="29"/>
      <c r="P195" s="30"/>
      <c r="Q195" s="30"/>
      <c r="R195" s="30"/>
      <c r="S195" s="30"/>
      <c r="T195" s="30"/>
    </row>
    <row r="196" ht="13.5" customHeight="1">
      <c r="A196" s="12"/>
      <c r="B196" s="12"/>
      <c r="C196" s="12"/>
      <c r="D196" s="28"/>
      <c r="E196" s="29"/>
      <c r="F196" s="29"/>
      <c r="G196" s="29"/>
      <c r="H196" s="12"/>
      <c r="I196" s="29"/>
      <c r="J196" s="12"/>
      <c r="K196" s="12"/>
      <c r="L196" s="28"/>
      <c r="M196" s="29"/>
      <c r="N196" s="29"/>
      <c r="O196" s="29"/>
      <c r="P196" s="30"/>
      <c r="Q196" s="30"/>
      <c r="R196" s="30"/>
      <c r="S196" s="30"/>
      <c r="T196" s="30"/>
    </row>
    <row r="197" ht="13.5" customHeight="1">
      <c r="A197" s="12"/>
      <c r="B197" s="12"/>
      <c r="C197" s="12"/>
      <c r="D197" s="28"/>
      <c r="E197" s="29"/>
      <c r="F197" s="29"/>
      <c r="G197" s="29"/>
      <c r="H197" s="12"/>
      <c r="I197" s="29"/>
      <c r="J197" s="12"/>
      <c r="K197" s="12"/>
      <c r="L197" s="28"/>
      <c r="M197" s="29"/>
      <c r="N197" s="29"/>
      <c r="O197" s="29"/>
      <c r="P197" s="30"/>
      <c r="Q197" s="30"/>
      <c r="R197" s="30"/>
      <c r="S197" s="30"/>
      <c r="T197" s="30"/>
    </row>
    <row r="198" ht="13.5" customHeight="1">
      <c r="A198" s="12"/>
      <c r="B198" s="12"/>
      <c r="C198" s="12"/>
      <c r="D198" s="28"/>
      <c r="E198" s="29"/>
      <c r="F198" s="29"/>
      <c r="G198" s="29"/>
      <c r="H198" s="12"/>
      <c r="I198" s="29"/>
      <c r="J198" s="12"/>
      <c r="K198" s="12"/>
      <c r="L198" s="28"/>
      <c r="M198" s="29"/>
      <c r="N198" s="29"/>
      <c r="O198" s="29"/>
      <c r="P198" s="30"/>
      <c r="Q198" s="30"/>
      <c r="R198" s="30"/>
      <c r="S198" s="30"/>
      <c r="T198" s="30"/>
    </row>
    <row r="199" ht="13.5" customHeight="1">
      <c r="A199" s="12"/>
      <c r="B199" s="12"/>
      <c r="C199" s="12"/>
      <c r="D199" s="28"/>
      <c r="E199" s="29"/>
      <c r="F199" s="29"/>
      <c r="G199" s="29"/>
      <c r="H199" s="12"/>
      <c r="I199" s="29"/>
      <c r="J199" s="12"/>
      <c r="K199" s="12"/>
      <c r="L199" s="28"/>
      <c r="M199" s="29"/>
      <c r="N199" s="29"/>
      <c r="O199" s="29"/>
      <c r="P199" s="30"/>
      <c r="Q199" s="30"/>
      <c r="R199" s="30"/>
      <c r="S199" s="30"/>
      <c r="T199" s="30"/>
    </row>
    <row r="200" ht="13.5" customHeight="1">
      <c r="A200" s="12"/>
      <c r="B200" s="12"/>
      <c r="C200" s="12"/>
      <c r="D200" s="28"/>
      <c r="E200" s="29"/>
      <c r="F200" s="29"/>
      <c r="G200" s="29"/>
      <c r="H200" s="12"/>
      <c r="I200" s="29"/>
      <c r="J200" s="12"/>
      <c r="K200" s="12"/>
      <c r="L200" s="28"/>
      <c r="M200" s="29"/>
      <c r="N200" s="29"/>
      <c r="O200" s="29"/>
      <c r="P200" s="30"/>
      <c r="Q200" s="30"/>
      <c r="R200" s="30"/>
      <c r="S200" s="30"/>
      <c r="T200" s="30"/>
    </row>
  </sheetData>
  <autoFilter ref="A1:F9"/>
  <mergeCells count="34">
    <mergeCell ref="A12:A26"/>
    <mergeCell ref="I29:I43"/>
    <mergeCell ref="E59:G59"/>
    <mergeCell ref="M45:O45"/>
    <mergeCell ref="I46:I57"/>
    <mergeCell ref="H11:H69"/>
    <mergeCell ref="E29:G43"/>
    <mergeCell ref="D1:I1"/>
    <mergeCell ref="E60:G69"/>
    <mergeCell ref="A46:A57"/>
    <mergeCell ref="A44:G44"/>
    <mergeCell ref="A29:A43"/>
    <mergeCell ref="M28:O28"/>
    <mergeCell ref="M59:O59"/>
    <mergeCell ref="I44:O44"/>
    <mergeCell ref="A27:G27"/>
    <mergeCell ref="E28:G28"/>
    <mergeCell ref="E46:G57"/>
    <mergeCell ref="I58:O58"/>
    <mergeCell ref="M11:O11"/>
    <mergeCell ref="I12:I26"/>
    <mergeCell ref="M46:O57"/>
    <mergeCell ref="D2:I9"/>
    <mergeCell ref="E45:G45"/>
    <mergeCell ref="M29:O43"/>
    <mergeCell ref="E12:G26"/>
    <mergeCell ref="I60:I69"/>
    <mergeCell ref="I27:O27"/>
    <mergeCell ref="M60:O69"/>
    <mergeCell ref="M12:O26"/>
    <mergeCell ref="A58:G58"/>
    <mergeCell ref="A60:A69"/>
    <mergeCell ref="A10:O10"/>
    <mergeCell ref="E11:G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24.75" customHeight="1">
      <c r="A1" s="55" t="s">
        <v>456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6"/>
      <c r="S1" s="56"/>
    </row>
    <row r="2" ht="16.5" customHeight="1">
      <c r="A2" s="57" t="s">
        <v>457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ht="16.5" customHeight="1">
      <c r="A3" s="54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ht="16.5" customHeight="1">
      <c r="A4" s="54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</row>
    <row r="5" ht="16.5" customHeight="1">
      <c r="A5" s="54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</row>
    <row r="6" ht="16.5" customHeight="1">
      <c r="A6" s="54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</row>
    <row r="7" ht="16.5" customHeight="1">
      <c r="A7" s="54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</row>
    <row r="8" ht="16.5" customHeight="1">
      <c r="A8" s="54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</row>
    <row r="9" ht="16.5" customHeight="1">
      <c r="A9" s="54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 ht="16.5" customHeight="1">
      <c r="A10" s="54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</row>
    <row r="11" ht="16.5" customHeight="1">
      <c r="A11" s="54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ht="16.5" customHeight="1">
      <c r="A12" s="54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 ht="16.5" customHeight="1">
      <c r="A13" s="5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 ht="16.5" customHeight="1">
      <c r="A14" s="54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</row>
    <row r="15" ht="16.5" customHeight="1">
      <c r="A15" s="54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ht="16.5" customHeight="1">
      <c r="A16" s="54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</row>
    <row r="17" ht="16.5" customHeight="1">
      <c r="A17" s="54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 ht="16.5" customHeight="1">
      <c r="A18" s="54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</row>
    <row r="19" ht="16.5" customHeight="1">
      <c r="A19" s="54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 ht="16.5" customHeight="1">
      <c r="A20" s="54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ht="16.5" customHeight="1">
      <c r="A21" s="54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ht="16.5" customHeight="1">
      <c r="A22" s="54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</row>
    <row r="23" ht="16.5" customHeight="1">
      <c r="A23" s="54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</row>
    <row r="24" ht="16.5" customHeight="1">
      <c r="A24" s="54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</row>
    <row r="25" ht="16.5" customHeight="1">
      <c r="A25" s="54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ht="16.5" customHeight="1">
      <c r="A26" s="54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ht="51.75" customHeight="1">
      <c r="A27" s="58" t="s">
        <v>458</v>
      </c>
      <c r="B27" s="81" t="s">
        <v>459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6"/>
      <c r="S27" s="56"/>
    </row>
    <row r="28" ht="24.75" customHeight="1">
      <c r="A28" s="55" t="s">
        <v>460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6"/>
      <c r="S28" s="56"/>
    </row>
    <row r="29" ht="16.5" customHeight="1">
      <c r="A29" s="57" t="s">
        <v>461</v>
      </c>
      <c r="B29" s="56" t="s">
        <v>462</v>
      </c>
      <c r="C29" s="56" t="s">
        <v>463</v>
      </c>
      <c r="D29" s="56"/>
      <c r="E29" s="56"/>
      <c r="F29" s="56" t="s">
        <v>464</v>
      </c>
      <c r="G29" s="56" t="s">
        <v>465</v>
      </c>
      <c r="H29" s="56" t="s">
        <v>466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ht="16.5" customHeight="1">
      <c r="A30" s="54"/>
      <c r="B30" s="59" t="n">
        <v>1</v>
      </c>
      <c r="C30" s="56" t="s">
        <v>467</v>
      </c>
      <c r="D30" s="56"/>
      <c r="E30" s="56"/>
      <c r="F30" s="60" t="s">
        <v>468</v>
      </c>
      <c r="G30" s="60" t="s">
        <v>469</v>
      </c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ht="16.5" customHeight="1">
      <c r="A31" s="54"/>
      <c r="B31" s="59" t="n">
        <v>2</v>
      </c>
      <c r="C31" s="56" t="s">
        <v>470</v>
      </c>
      <c r="D31" s="56"/>
      <c r="E31" s="56"/>
      <c r="F31" s="60" t="s">
        <v>471</v>
      </c>
      <c r="G31" s="60" t="s">
        <v>472</v>
      </c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ht="16.5" customHeight="1">
      <c r="A32" s="54"/>
      <c r="B32" s="59" t="n">
        <v>3</v>
      </c>
      <c r="C32" s="56" t="s">
        <v>473</v>
      </c>
      <c r="D32" s="56"/>
      <c r="E32" s="56"/>
      <c r="F32" s="60" t="s">
        <v>474</v>
      </c>
      <c r="G32" s="60" t="s">
        <v>475</v>
      </c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</row>
    <row r="33" ht="16.5" customHeight="1">
      <c r="A33" s="54"/>
      <c r="B33" s="59" t="n">
        <v>4</v>
      </c>
      <c r="C33" s="56" t="s">
        <v>476</v>
      </c>
      <c r="D33" s="56"/>
      <c r="E33" s="56"/>
      <c r="F33" s="60" t="s">
        <v>477</v>
      </c>
      <c r="G33" s="60" t="s">
        <v>478</v>
      </c>
      <c r="H33" s="56" t="s">
        <v>476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ht="16.5" customHeight="1">
      <c r="A34" s="54"/>
      <c r="B34" s="59" t="n">
        <v>5</v>
      </c>
      <c r="C34" s="56" t="s">
        <v>479</v>
      </c>
      <c r="D34" s="56"/>
      <c r="E34" s="56"/>
      <c r="F34" s="60" t="s">
        <v>480</v>
      </c>
      <c r="G34" s="60" t="s">
        <v>481</v>
      </c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ht="16.5" customHeight="1">
      <c r="A35" s="54"/>
      <c r="B35" s="59" t="n">
        <v>6</v>
      </c>
      <c r="C35" s="56" t="s">
        <v>482</v>
      </c>
      <c r="D35" s="56"/>
      <c r="E35" s="56"/>
      <c r="F35" s="60" t="s">
        <v>483</v>
      </c>
      <c r="G35" s="60" t="s">
        <v>484</v>
      </c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</row>
    <row r="36" ht="16.5" customHeight="1">
      <c r="A36" s="54"/>
      <c r="B36" s="59" t="n">
        <v>7</v>
      </c>
      <c r="C36" s="56" t="s">
        <v>485</v>
      </c>
      <c r="D36" s="56"/>
      <c r="E36" s="56"/>
      <c r="F36" s="60" t="s">
        <v>486</v>
      </c>
      <c r="G36" s="61" t="n">
        <v>9132</v>
      </c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ht="16.5" customHeight="1">
      <c r="A37" s="54"/>
      <c r="B37" s="59" t="n">
        <v>8</v>
      </c>
      <c r="C37" s="56" t="s">
        <v>487</v>
      </c>
      <c r="D37" s="56"/>
      <c r="E37" s="56"/>
      <c r="F37" s="60" t="s">
        <v>488</v>
      </c>
      <c r="G37" s="60" t="s">
        <v>489</v>
      </c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ht="16.5" customHeight="1">
      <c r="A38" s="54"/>
      <c r="B38" s="59" t="n">
        <v>9</v>
      </c>
      <c r="C38" s="56" t="s">
        <v>490</v>
      </c>
      <c r="D38" s="56"/>
      <c r="E38" s="56"/>
      <c r="F38" s="60" t="s">
        <v>491</v>
      </c>
      <c r="G38" s="60" t="s">
        <v>492</v>
      </c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ht="16.5" customHeight="1">
      <c r="A39" s="54"/>
      <c r="B39" s="59" t="n">
        <v>10</v>
      </c>
      <c r="C39" s="56" t="s">
        <v>493</v>
      </c>
      <c r="D39" s="56"/>
      <c r="E39" s="56"/>
      <c r="F39" s="60" t="s">
        <v>469</v>
      </c>
      <c r="G39" s="60" t="s">
        <v>494</v>
      </c>
      <c r="H39" s="56" t="s">
        <v>495</v>
      </c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ht="16.5" customHeight="1">
      <c r="A40" s="54"/>
      <c r="B40" s="59" t="n">
        <v>11</v>
      </c>
      <c r="C40" s="56" t="s">
        <v>496</v>
      </c>
      <c r="D40" s="56"/>
      <c r="E40" s="56"/>
      <c r="F40" s="60" t="s">
        <v>497</v>
      </c>
      <c r="G40" s="61" t="n">
        <v>9161</v>
      </c>
      <c r="H40" s="56" t="s">
        <v>498</v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ht="16.5" customHeight="1">
      <c r="A41" s="54"/>
      <c r="B41" s="59" t="n">
        <v>12</v>
      </c>
      <c r="C41" s="56" t="s">
        <v>499</v>
      </c>
      <c r="D41" s="56"/>
      <c r="E41" s="56"/>
      <c r="F41" s="60" t="s">
        <v>500</v>
      </c>
      <c r="G41" s="61" t="n">
        <v>7327</v>
      </c>
      <c r="H41" s="56" t="s">
        <v>498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ht="16.5" customHeight="1">
      <c r="A42" s="54"/>
      <c r="B42" s="59" t="n">
        <v>13</v>
      </c>
      <c r="C42" s="56" t="s">
        <v>501</v>
      </c>
      <c r="D42" s="56"/>
      <c r="E42" s="56"/>
      <c r="F42" s="60" t="s">
        <v>502</v>
      </c>
      <c r="G42" s="61" t="n">
        <v>8290</v>
      </c>
      <c r="H42" s="56" t="s">
        <v>498</v>
      </c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ht="16.5" customHeight="1">
      <c r="A43" s="54"/>
      <c r="B43" s="59" t="n">
        <v>14</v>
      </c>
      <c r="C43" s="56" t="s">
        <v>503</v>
      </c>
      <c r="D43" s="56"/>
      <c r="E43" s="56"/>
      <c r="F43" s="60" t="s">
        <v>504</v>
      </c>
      <c r="G43" s="61" t="n">
        <v>6552</v>
      </c>
      <c r="H43" s="56" t="s">
        <v>476</v>
      </c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ht="16.5" customHeight="1">
      <c r="A44" s="54"/>
      <c r="B44" s="59" t="n">
        <v>15</v>
      </c>
      <c r="C44" s="56" t="s">
        <v>505</v>
      </c>
      <c r="D44" s="56"/>
      <c r="E44" s="56"/>
      <c r="F44" s="60" t="s">
        <v>506</v>
      </c>
      <c r="G44" s="61" t="n">
        <v>8913</v>
      </c>
      <c r="H44" s="56" t="s">
        <v>476</v>
      </c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ht="16.5" customHeight="1">
      <c r="A45" s="54"/>
      <c r="B45" s="59" t="n">
        <v>16</v>
      </c>
      <c r="C45" s="56" t="s">
        <v>507</v>
      </c>
      <c r="D45" s="56"/>
      <c r="E45" s="56"/>
      <c r="F45" s="60" t="s">
        <v>508</v>
      </c>
      <c r="G45" s="61" t="n">
        <v>4547</v>
      </c>
      <c r="H45" s="56" t="s">
        <v>509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ht="16.5" customHeight="1">
      <c r="A46" s="54"/>
      <c r="B46" s="59" t="n">
        <v>17</v>
      </c>
      <c r="C46" s="56" t="s">
        <v>510</v>
      </c>
      <c r="D46" s="56"/>
      <c r="E46" s="56"/>
      <c r="F46" s="60" t="s">
        <v>511</v>
      </c>
      <c r="G46" s="61" t="n">
        <v>7146</v>
      </c>
      <c r="H46" s="56" t="s">
        <v>512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ht="16.5" customHeight="1">
      <c r="A47" s="54"/>
      <c r="B47" s="59" t="n">
        <v>18</v>
      </c>
      <c r="C47" s="56" t="s">
        <v>513</v>
      </c>
      <c r="D47" s="56"/>
      <c r="E47" s="56"/>
      <c r="F47" s="60" t="s">
        <v>514</v>
      </c>
      <c r="G47" s="61" t="n">
        <v>5334</v>
      </c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ht="16.5" customHeight="1">
      <c r="A48" s="54"/>
      <c r="B48" s="59" t="n">
        <v>19</v>
      </c>
      <c r="C48" s="56" t="s">
        <v>515</v>
      </c>
      <c r="D48" s="56"/>
      <c r="E48" s="56"/>
      <c r="F48" s="60" t="s">
        <v>516</v>
      </c>
      <c r="G48" s="60" t="s">
        <v>517</v>
      </c>
      <c r="H48" s="56" t="s">
        <v>498</v>
      </c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ht="16.5" customHeight="1">
      <c r="A49" s="54"/>
      <c r="B49" s="59" t="n">
        <v>20</v>
      </c>
      <c r="C49" s="56" t="s">
        <v>518</v>
      </c>
      <c r="D49" s="56"/>
      <c r="E49" s="56"/>
      <c r="F49" s="60" t="s">
        <v>519</v>
      </c>
      <c r="G49" s="61" t="n">
        <v>4278</v>
      </c>
      <c r="H49" s="56" t="s">
        <v>509</v>
      </c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ht="16.5" customHeight="1">
      <c r="A50" s="54"/>
      <c r="B50" s="59" t="n">
        <v>21</v>
      </c>
      <c r="C50" s="56" t="s">
        <v>520</v>
      </c>
      <c r="D50" s="56"/>
      <c r="E50" s="56"/>
      <c r="F50" s="60" t="s">
        <v>521</v>
      </c>
      <c r="G50" s="61" t="n">
        <v>4904</v>
      </c>
      <c r="H50" s="56" t="s">
        <v>498</v>
      </c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ht="16.5" customHeight="1">
      <c r="A51" s="54"/>
      <c r="B51" s="59" t="n">
        <v>22</v>
      </c>
      <c r="C51" s="56" t="s">
        <v>522</v>
      </c>
      <c r="D51" s="56"/>
      <c r="E51" s="56"/>
      <c r="F51" s="60" t="s">
        <v>523</v>
      </c>
      <c r="G51" s="61" t="n">
        <v>4353</v>
      </c>
      <c r="H51" s="56" t="s">
        <v>498</v>
      </c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ht="16.5" customHeight="1">
      <c r="A52" s="54"/>
      <c r="B52" s="59" t="n">
        <v>23</v>
      </c>
      <c r="C52" s="56" t="s">
        <v>524</v>
      </c>
      <c r="D52" s="56"/>
      <c r="E52" s="56"/>
      <c r="F52" s="60" t="s">
        <v>525</v>
      </c>
      <c r="G52" s="61" t="n">
        <v>4263</v>
      </c>
      <c r="H52" s="56" t="s">
        <v>512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ht="16.5" customHeight="1">
      <c r="A53" s="54"/>
      <c r="B53" s="59" t="n">
        <v>24</v>
      </c>
      <c r="C53" s="56" t="s">
        <v>526</v>
      </c>
      <c r="D53" s="56"/>
      <c r="E53" s="56"/>
      <c r="F53" s="60" t="s">
        <v>527</v>
      </c>
      <c r="G53" s="61" t="n">
        <v>1892</v>
      </c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ht="16.5" customHeight="1">
      <c r="A54" s="54"/>
      <c r="B54" s="59" t="n">
        <v>25</v>
      </c>
      <c r="C54" s="56" t="s">
        <v>528</v>
      </c>
      <c r="D54" s="56"/>
      <c r="E54" s="56"/>
      <c r="F54" s="60" t="s">
        <v>529</v>
      </c>
      <c r="G54" s="61" t="n">
        <v>3339</v>
      </c>
      <c r="H54" s="56" t="s">
        <v>509</v>
      </c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ht="16.5" customHeight="1">
      <c r="A55" s="54"/>
      <c r="B55" s="59" t="n">
        <v>26</v>
      </c>
      <c r="C55" s="56" t="s">
        <v>530</v>
      </c>
      <c r="D55" s="56"/>
      <c r="E55" s="56"/>
      <c r="F55" s="60" t="s">
        <v>531</v>
      </c>
      <c r="G55" s="61" t="n">
        <v>3711</v>
      </c>
      <c r="H55" s="56" t="s">
        <v>498</v>
      </c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ht="16.5" customHeight="1">
      <c r="A56" s="54"/>
      <c r="B56" s="59" t="n">
        <v>27</v>
      </c>
      <c r="C56" s="56" t="s">
        <v>532</v>
      </c>
      <c r="D56" s="56"/>
      <c r="E56" s="56"/>
      <c r="F56" s="60" t="s">
        <v>533</v>
      </c>
      <c r="G56" s="61" t="n">
        <v>2055</v>
      </c>
      <c r="H56" s="56" t="s">
        <v>534</v>
      </c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</row>
    <row r="57" ht="16.5" customHeight="1">
      <c r="A57" s="54"/>
      <c r="B57" s="59" t="n">
        <v>28</v>
      </c>
      <c r="C57" s="56" t="s">
        <v>535</v>
      </c>
      <c r="D57" s="56"/>
      <c r="E57" s="56"/>
      <c r="F57" s="60" t="s">
        <v>536</v>
      </c>
      <c r="G57" s="61" t="n">
        <v>3594</v>
      </c>
      <c r="H57" s="56" t="s">
        <v>476</v>
      </c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</row>
    <row r="58" ht="16.5" customHeight="1">
      <c r="A58" s="54"/>
      <c r="B58" s="59" t="n">
        <v>29</v>
      </c>
      <c r="C58" s="56" t="s">
        <v>537</v>
      </c>
      <c r="D58" s="56"/>
      <c r="E58" s="56"/>
      <c r="F58" s="60" t="s">
        <v>538</v>
      </c>
      <c r="G58" s="61" t="n">
        <v>4030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</row>
    <row r="59" ht="16.5" customHeight="1">
      <c r="A59" s="54"/>
      <c r="B59" s="59" t="n">
        <v>30</v>
      </c>
      <c r="C59" s="56" t="s">
        <v>539</v>
      </c>
      <c r="D59" s="56"/>
      <c r="E59" s="56"/>
      <c r="F59" s="60" t="s">
        <v>540</v>
      </c>
      <c r="G59" s="61" t="n">
        <v>3296</v>
      </c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</row>
    <row r="60" ht="16.5" customHeight="1">
      <c r="A60" s="54"/>
      <c r="B60" s="59" t="n">
        <v>31</v>
      </c>
      <c r="C60" s="56" t="s">
        <v>541</v>
      </c>
      <c r="D60" s="56"/>
      <c r="E60" s="56"/>
      <c r="F60" s="60" t="s">
        <v>542</v>
      </c>
      <c r="G60" s="61" t="n">
        <v>3077</v>
      </c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</row>
    <row r="61" ht="16.5" customHeight="1">
      <c r="A61" s="54"/>
      <c r="B61" s="59" t="n">
        <v>32</v>
      </c>
      <c r="C61" s="56" t="s">
        <v>543</v>
      </c>
      <c r="D61" s="56"/>
      <c r="E61" s="56"/>
      <c r="F61" s="60" t="s">
        <v>544</v>
      </c>
      <c r="G61" s="61" t="n">
        <v>2489</v>
      </c>
      <c r="H61" s="56" t="s">
        <v>498</v>
      </c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</row>
    <row r="62" ht="16.5" customHeight="1">
      <c r="A62" s="54"/>
      <c r="B62" s="59" t="n">
        <v>33</v>
      </c>
      <c r="C62" s="56" t="s">
        <v>545</v>
      </c>
      <c r="D62" s="56"/>
      <c r="E62" s="56"/>
      <c r="F62" s="60" t="s">
        <v>546</v>
      </c>
      <c r="G62" s="61" t="n">
        <v>1858</v>
      </c>
      <c r="H62" s="56" t="s">
        <v>498</v>
      </c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</row>
    <row r="63" ht="16.5" customHeight="1">
      <c r="A63" s="54"/>
      <c r="B63" s="59" t="n">
        <v>34</v>
      </c>
      <c r="C63" s="56" t="s">
        <v>547</v>
      </c>
      <c r="D63" s="56"/>
      <c r="E63" s="56"/>
      <c r="F63" s="60" t="s">
        <v>548</v>
      </c>
      <c r="G63" s="61" t="n">
        <v>1818</v>
      </c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</row>
    <row r="64" ht="16.5" customHeight="1">
      <c r="A64" s="54"/>
      <c r="B64" s="59" t="n">
        <v>35</v>
      </c>
      <c r="C64" s="56" t="s">
        <v>549</v>
      </c>
      <c r="D64" s="56"/>
      <c r="E64" s="56"/>
      <c r="F64" s="60" t="s">
        <v>550</v>
      </c>
      <c r="G64" s="61" t="n">
        <v>2608</v>
      </c>
      <c r="H64" s="56" t="s">
        <v>495</v>
      </c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</row>
    <row r="65" ht="16.5" customHeight="1">
      <c r="A65" s="54"/>
      <c r="B65" s="59" t="n">
        <v>36</v>
      </c>
      <c r="C65" s="56" t="s">
        <v>551</v>
      </c>
      <c r="D65" s="56"/>
      <c r="E65" s="56"/>
      <c r="F65" s="60" t="s">
        <v>552</v>
      </c>
      <c r="G65" s="61" t="n">
        <v>2371</v>
      </c>
      <c r="H65" s="56" t="s">
        <v>498</v>
      </c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</row>
    <row r="66" ht="16.5" customHeight="1">
      <c r="A66" s="54"/>
      <c r="B66" s="59" t="n">
        <v>37</v>
      </c>
      <c r="C66" s="56" t="s">
        <v>553</v>
      </c>
      <c r="D66" s="56"/>
      <c r="E66" s="56"/>
      <c r="F66" s="60" t="s">
        <v>554</v>
      </c>
      <c r="G66" s="61" t="n">
        <v>2918</v>
      </c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</row>
    <row r="67" ht="16.5" customHeight="1">
      <c r="A67" s="54"/>
      <c r="B67" s="59" t="n">
        <v>38</v>
      </c>
      <c r="C67" s="56" t="s">
        <v>555</v>
      </c>
      <c r="D67" s="56"/>
      <c r="E67" s="56"/>
      <c r="F67" s="60" t="s">
        <v>554</v>
      </c>
      <c r="G67" s="61" t="n">
        <v>3578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</row>
    <row r="68" ht="16.5" customHeight="1">
      <c r="A68" s="54"/>
      <c r="B68" s="59" t="n">
        <v>39</v>
      </c>
      <c r="C68" s="56" t="s">
        <v>556</v>
      </c>
      <c r="D68" s="56"/>
      <c r="E68" s="56"/>
      <c r="F68" s="60" t="s">
        <v>557</v>
      </c>
      <c r="G68" s="61" t="n">
        <v>1338</v>
      </c>
      <c r="H68" s="56" t="s">
        <v>558</v>
      </c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</row>
    <row r="69" ht="16.5" customHeight="1">
      <c r="A69" s="54"/>
      <c r="B69" s="59" t="n">
        <v>40</v>
      </c>
      <c r="C69" s="56" t="s">
        <v>559</v>
      </c>
      <c r="D69" s="56"/>
      <c r="E69" s="56"/>
      <c r="F69" s="60" t="s">
        <v>557</v>
      </c>
      <c r="G69" s="61" t="n">
        <v>3321</v>
      </c>
      <c r="H69" s="56" t="s">
        <v>498</v>
      </c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</row>
    <row r="70" ht="16.5" customHeight="1">
      <c r="A70" s="54"/>
      <c r="B70" s="59" t="n">
        <v>41</v>
      </c>
      <c r="C70" s="56" t="s">
        <v>560</v>
      </c>
      <c r="D70" s="56"/>
      <c r="E70" s="56"/>
      <c r="F70" s="60" t="s">
        <v>561</v>
      </c>
      <c r="G70" s="61" t="n">
        <v>1702</v>
      </c>
      <c r="H70" s="56" t="s">
        <v>476</v>
      </c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</row>
    <row r="71" ht="16.5" customHeight="1">
      <c r="A71" s="54"/>
      <c r="B71" s="59" t="n">
        <v>42</v>
      </c>
      <c r="C71" s="56" t="s">
        <v>562</v>
      </c>
      <c r="D71" s="56"/>
      <c r="E71" s="56"/>
      <c r="F71" s="60" t="s">
        <v>563</v>
      </c>
      <c r="G71" s="61" t="n">
        <v>1730</v>
      </c>
      <c r="H71" s="56" t="s">
        <v>476</v>
      </c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</row>
    <row r="72" ht="16.5" customHeight="1">
      <c r="A72" s="54"/>
      <c r="B72" s="59" t="n">
        <v>43</v>
      </c>
      <c r="C72" s="56" t="s">
        <v>564</v>
      </c>
      <c r="D72" s="56"/>
      <c r="E72" s="56"/>
      <c r="F72" s="60" t="s">
        <v>565</v>
      </c>
      <c r="G72" s="61" t="n">
        <v>1517</v>
      </c>
      <c r="H72" s="56" t="s">
        <v>558</v>
      </c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</row>
    <row r="73" ht="16.5" customHeight="1">
      <c r="A73" s="54"/>
      <c r="B73" s="59" t="n">
        <v>44</v>
      </c>
      <c r="C73" s="56" t="s">
        <v>566</v>
      </c>
      <c r="D73" s="56"/>
      <c r="E73" s="56"/>
      <c r="F73" s="60" t="s">
        <v>567</v>
      </c>
      <c r="G73" s="61" t="n">
        <v>1970</v>
      </c>
      <c r="H73" s="56" t="s">
        <v>498</v>
      </c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</row>
    <row r="74" ht="16.5" customHeight="1">
      <c r="A74" s="54"/>
      <c r="B74" s="59" t="n">
        <v>45</v>
      </c>
      <c r="C74" s="56" t="s">
        <v>568</v>
      </c>
      <c r="D74" s="56"/>
      <c r="E74" s="56"/>
      <c r="F74" s="60" t="s">
        <v>569</v>
      </c>
      <c r="G74" s="60" t="n">
        <v>766</v>
      </c>
      <c r="H74" s="56" t="s">
        <v>534</v>
      </c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</row>
    <row r="75" ht="16.5" customHeight="1">
      <c r="A75" s="54"/>
      <c r="B75" s="59" t="n">
        <v>46</v>
      </c>
      <c r="C75" s="56" t="s">
        <v>570</v>
      </c>
      <c r="D75" s="56"/>
      <c r="E75" s="56"/>
      <c r="F75" s="60" t="s">
        <v>571</v>
      </c>
      <c r="G75" s="61" t="n">
        <v>1589</v>
      </c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</row>
    <row r="76" ht="16.5" customHeight="1">
      <c r="A76" s="54"/>
      <c r="B76" s="59" t="n">
        <v>47</v>
      </c>
      <c r="C76" s="56" t="s">
        <v>572</v>
      </c>
      <c r="D76" s="56"/>
      <c r="E76" s="56"/>
      <c r="F76" s="60" t="s">
        <v>573</v>
      </c>
      <c r="G76" s="60" t="n">
        <v>702</v>
      </c>
      <c r="H76" s="56" t="s">
        <v>534</v>
      </c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</row>
    <row r="77" ht="16.5" customHeight="1">
      <c r="A77" s="54"/>
      <c r="B77" s="59" t="n">
        <v>48</v>
      </c>
      <c r="C77" s="56" t="s">
        <v>574</v>
      </c>
      <c r="D77" s="56"/>
      <c r="E77" s="56"/>
      <c r="F77" s="60" t="s">
        <v>575</v>
      </c>
      <c r="G77" s="61" t="n">
        <v>2305</v>
      </c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</row>
    <row r="78" ht="16.5" customHeight="1">
      <c r="A78" s="54"/>
      <c r="B78" s="59" t="n">
        <v>49</v>
      </c>
      <c r="C78" s="56" t="s">
        <v>576</v>
      </c>
      <c r="D78" s="56"/>
      <c r="E78" s="56"/>
      <c r="F78" s="60" t="s">
        <v>577</v>
      </c>
      <c r="G78" s="60" t="n">
        <v>581</v>
      </c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</row>
    <row r="79" ht="16.5" customHeight="1">
      <c r="A79" s="54"/>
      <c r="B79" s="59" t="n">
        <v>50</v>
      </c>
      <c r="C79" s="56" t="s">
        <v>578</v>
      </c>
      <c r="D79" s="56"/>
      <c r="E79" s="56"/>
      <c r="F79" s="60" t="s">
        <v>579</v>
      </c>
      <c r="G79" s="61" t="n">
        <v>2226</v>
      </c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</row>
    <row r="80" ht="16.5" customHeight="1">
      <c r="A80" s="54"/>
      <c r="B80" s="59" t="n">
        <v>51</v>
      </c>
      <c r="C80" s="56" t="s">
        <v>580</v>
      </c>
      <c r="D80" s="56"/>
      <c r="E80" s="56"/>
      <c r="F80" s="60" t="s">
        <v>579</v>
      </c>
      <c r="G80" s="60" t="n">
        <v>998</v>
      </c>
      <c r="H80" s="56" t="s">
        <v>509</v>
      </c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</row>
    <row r="81" ht="16.5" customHeight="1">
      <c r="A81" s="54"/>
      <c r="B81" s="59" t="n">
        <v>52</v>
      </c>
      <c r="C81" s="56" t="s">
        <v>581</v>
      </c>
      <c r="D81" s="56"/>
      <c r="E81" s="56"/>
      <c r="F81" s="60" t="s">
        <v>579</v>
      </c>
      <c r="G81" s="60" t="n">
        <v>93</v>
      </c>
      <c r="H81" s="56" t="s">
        <v>509</v>
      </c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</row>
    <row r="82" ht="16.5" customHeight="1">
      <c r="A82" s="54"/>
      <c r="B82" s="59" t="n">
        <v>53</v>
      </c>
      <c r="C82" s="56" t="s">
        <v>582</v>
      </c>
      <c r="D82" s="56"/>
      <c r="E82" s="56"/>
      <c r="F82" s="60" t="s">
        <v>583</v>
      </c>
      <c r="G82" s="60" t="n">
        <v>456</v>
      </c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</row>
    <row r="83" ht="16.5" customHeight="1">
      <c r="A83" s="54"/>
      <c r="B83" s="59" t="n">
        <v>54</v>
      </c>
      <c r="C83" s="56" t="s">
        <v>584</v>
      </c>
      <c r="D83" s="56"/>
      <c r="E83" s="56"/>
      <c r="F83" s="60" t="s">
        <v>492</v>
      </c>
      <c r="G83" s="60" t="n">
        <v>257</v>
      </c>
      <c r="H83" s="56" t="s">
        <v>509</v>
      </c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</row>
    <row r="84" ht="16.5" customHeight="1">
      <c r="A84" s="54"/>
      <c r="B84" s="59" t="n">
        <v>55</v>
      </c>
      <c r="C84" s="56" t="s">
        <v>585</v>
      </c>
      <c r="D84" s="56"/>
      <c r="E84" s="56"/>
      <c r="F84" s="60" t="s">
        <v>586</v>
      </c>
      <c r="G84" s="61" t="n">
        <v>1179</v>
      </c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</row>
    <row r="85" ht="16.5" customHeight="1">
      <c r="A85" s="54"/>
      <c r="B85" s="59" t="n">
        <v>56</v>
      </c>
      <c r="C85" s="56" t="s">
        <v>587</v>
      </c>
      <c r="D85" s="56"/>
      <c r="E85" s="56"/>
      <c r="F85" s="60" t="s">
        <v>588</v>
      </c>
      <c r="G85" s="60" t="n">
        <v>550</v>
      </c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</row>
    <row r="86" ht="16.5" customHeight="1">
      <c r="A86" s="54"/>
      <c r="B86" s="59" t="n">
        <v>57</v>
      </c>
      <c r="C86" s="56" t="s">
        <v>589</v>
      </c>
      <c r="D86" s="56"/>
      <c r="E86" s="56"/>
      <c r="F86" s="60" t="s">
        <v>588</v>
      </c>
      <c r="G86" s="61" t="n">
        <v>1154</v>
      </c>
      <c r="H86" s="56" t="s">
        <v>125</v>
      </c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</row>
    <row r="87" ht="16.5" customHeight="1">
      <c r="A87" s="54"/>
      <c r="B87" s="59" t="n">
        <v>58</v>
      </c>
      <c r="C87" s="56" t="s">
        <v>590</v>
      </c>
      <c r="D87" s="56"/>
      <c r="E87" s="56"/>
      <c r="F87" s="60" t="s">
        <v>591</v>
      </c>
      <c r="G87" s="60" t="n">
        <v>958</v>
      </c>
      <c r="H87" s="56" t="s">
        <v>509</v>
      </c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</row>
    <row r="88" ht="16.5" customHeight="1">
      <c r="A88" s="54"/>
      <c r="B88" s="59" t="n">
        <v>59</v>
      </c>
      <c r="C88" s="56" t="s">
        <v>592</v>
      </c>
      <c r="D88" s="56"/>
      <c r="E88" s="56"/>
      <c r="F88" s="60" t="s">
        <v>591</v>
      </c>
      <c r="G88" s="61" t="n">
        <v>2283</v>
      </c>
      <c r="H88" s="56" t="s">
        <v>495</v>
      </c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</row>
    <row r="89" ht="16.5" customHeight="1">
      <c r="A89" s="54"/>
      <c r="B89" s="59" t="n">
        <v>60</v>
      </c>
      <c r="C89" s="56" t="s">
        <v>593</v>
      </c>
      <c r="D89" s="56"/>
      <c r="E89" s="56"/>
      <c r="F89" s="60" t="s">
        <v>594</v>
      </c>
      <c r="G89" s="61" t="n">
        <v>1108</v>
      </c>
      <c r="H89" s="56" t="s">
        <v>498</v>
      </c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</row>
    <row r="90" ht="16.5" customHeight="1">
      <c r="A90" s="54"/>
      <c r="B90" s="59" t="n">
        <v>61</v>
      </c>
      <c r="C90" s="56" t="s">
        <v>595</v>
      </c>
      <c r="D90" s="56"/>
      <c r="E90" s="56"/>
      <c r="F90" s="60" t="s">
        <v>594</v>
      </c>
      <c r="G90" s="60" t="n">
        <v>710</v>
      </c>
      <c r="H90" s="56" t="s">
        <v>509</v>
      </c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ht="16.5" customHeight="1">
      <c r="A91" s="54"/>
      <c r="B91" s="59" t="n">
        <v>62</v>
      </c>
      <c r="C91" s="56" t="s">
        <v>596</v>
      </c>
      <c r="D91" s="56"/>
      <c r="E91" s="56"/>
      <c r="F91" s="60" t="s">
        <v>597</v>
      </c>
      <c r="G91" s="61" t="n">
        <v>1135</v>
      </c>
      <c r="H91" s="56" t="s">
        <v>512</v>
      </c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</row>
    <row r="92" ht="16.5" customHeight="1">
      <c r="A92" s="54"/>
      <c r="B92" s="59" t="n">
        <v>63</v>
      </c>
      <c r="C92" s="56" t="s">
        <v>598</v>
      </c>
      <c r="D92" s="56"/>
      <c r="E92" s="56"/>
      <c r="F92" s="60" t="s">
        <v>599</v>
      </c>
      <c r="G92" s="60" t="n">
        <v>873</v>
      </c>
      <c r="H92" s="56" t="s">
        <v>558</v>
      </c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</row>
    <row r="93" ht="16.5" customHeight="1">
      <c r="A93" s="54"/>
      <c r="B93" s="59" t="n">
        <v>64</v>
      </c>
      <c r="C93" s="56" t="s">
        <v>600</v>
      </c>
      <c r="D93" s="56"/>
      <c r="E93" s="56"/>
      <c r="F93" s="60" t="s">
        <v>481</v>
      </c>
      <c r="G93" s="60" t="n">
        <v>813</v>
      </c>
      <c r="H93" s="56" t="s">
        <v>558</v>
      </c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</row>
    <row r="94" ht="16.5" customHeight="1">
      <c r="A94" s="54"/>
      <c r="B94" s="59" t="n">
        <v>65</v>
      </c>
      <c r="C94" s="56" t="s">
        <v>601</v>
      </c>
      <c r="D94" s="56"/>
      <c r="E94" s="56"/>
      <c r="F94" s="60" t="s">
        <v>602</v>
      </c>
      <c r="G94" s="61" t="n">
        <v>1562</v>
      </c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</row>
    <row r="95" ht="16.5" customHeight="1">
      <c r="A95" s="54"/>
      <c r="B95" s="59" t="n">
        <v>66</v>
      </c>
      <c r="C95" s="56" t="s">
        <v>603</v>
      </c>
      <c r="D95" s="56"/>
      <c r="E95" s="56"/>
      <c r="F95" s="60" t="s">
        <v>602</v>
      </c>
      <c r="G95" s="61" t="n">
        <v>1478</v>
      </c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</row>
    <row r="96" ht="16.5" customHeight="1">
      <c r="A96" s="54"/>
      <c r="B96" s="59" t="n">
        <v>67</v>
      </c>
      <c r="C96" s="56" t="s">
        <v>604</v>
      </c>
      <c r="D96" s="56"/>
      <c r="E96" s="56"/>
      <c r="F96" s="60" t="s">
        <v>602</v>
      </c>
      <c r="G96" s="60" t="n">
        <v>781</v>
      </c>
      <c r="H96" s="56" t="s">
        <v>495</v>
      </c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</row>
    <row r="97" ht="16.5" customHeight="1">
      <c r="A97" s="54"/>
      <c r="B97" s="59" t="n">
        <v>68</v>
      </c>
      <c r="C97" s="56" t="s">
        <v>605</v>
      </c>
      <c r="D97" s="56"/>
      <c r="E97" s="56"/>
      <c r="F97" s="60" t="s">
        <v>606</v>
      </c>
      <c r="G97" s="60" t="n">
        <v>302</v>
      </c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</row>
    <row r="98" ht="16.5" customHeight="1">
      <c r="A98" s="54"/>
      <c r="B98" s="59" t="n">
        <v>69</v>
      </c>
      <c r="C98" s="56" t="s">
        <v>607</v>
      </c>
      <c r="D98" s="56"/>
      <c r="E98" s="56"/>
      <c r="F98" s="60" t="s">
        <v>517</v>
      </c>
      <c r="G98" s="61" t="n">
        <v>2392</v>
      </c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</row>
    <row r="99" ht="16.5" customHeight="1">
      <c r="A99" s="54"/>
      <c r="B99" s="59" t="n">
        <v>70</v>
      </c>
      <c r="C99" s="56" t="s">
        <v>608</v>
      </c>
      <c r="D99" s="56"/>
      <c r="E99" s="56"/>
      <c r="F99" s="60" t="s">
        <v>517</v>
      </c>
      <c r="G99" s="61" t="n">
        <v>1339</v>
      </c>
      <c r="H99" s="56" t="s">
        <v>512</v>
      </c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</row>
    <row r="100" ht="16.5" customHeight="1">
      <c r="A100" s="54"/>
      <c r="B100" s="59" t="n">
        <v>71</v>
      </c>
      <c r="C100" s="56" t="s">
        <v>609</v>
      </c>
      <c r="D100" s="56"/>
      <c r="E100" s="56"/>
      <c r="F100" s="60" t="s">
        <v>610</v>
      </c>
      <c r="G100" s="61" t="n">
        <v>1046</v>
      </c>
      <c r="H100" s="56" t="s">
        <v>558</v>
      </c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</row>
    <row r="101" ht="16.5" customHeight="1">
      <c r="A101" s="54"/>
      <c r="B101" s="59" t="n">
        <v>72</v>
      </c>
      <c r="C101" s="56" t="s">
        <v>611</v>
      </c>
      <c r="D101" s="56"/>
      <c r="E101" s="56"/>
      <c r="F101" s="60" t="s">
        <v>612</v>
      </c>
      <c r="G101" s="61" t="n">
        <v>1942</v>
      </c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</row>
    <row r="102" ht="16.5" customHeight="1">
      <c r="A102" s="54"/>
      <c r="B102" s="59" t="n">
        <v>73</v>
      </c>
      <c r="C102" s="56" t="s">
        <v>613</v>
      </c>
      <c r="D102" s="56"/>
      <c r="E102" s="56"/>
      <c r="F102" s="60" t="s">
        <v>612</v>
      </c>
      <c r="G102" s="60" t="n">
        <v>756</v>
      </c>
      <c r="H102" s="56" t="s">
        <v>509</v>
      </c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</row>
    <row r="103" ht="16.5" customHeight="1">
      <c r="A103" s="54"/>
      <c r="B103" s="59" t="n">
        <v>74</v>
      </c>
      <c r="C103" s="56" t="s">
        <v>614</v>
      </c>
      <c r="D103" s="56"/>
      <c r="E103" s="56"/>
      <c r="F103" s="60" t="s">
        <v>612</v>
      </c>
      <c r="G103" s="60" t="n">
        <v>728</v>
      </c>
      <c r="H103" s="56" t="s">
        <v>558</v>
      </c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</row>
    <row r="104" ht="16.5" customHeight="1">
      <c r="A104" s="54"/>
      <c r="B104" s="59" t="n">
        <v>75</v>
      </c>
      <c r="C104" s="56" t="s">
        <v>615</v>
      </c>
      <c r="D104" s="56"/>
      <c r="E104" s="56"/>
      <c r="F104" s="60" t="s">
        <v>616</v>
      </c>
      <c r="G104" s="60" t="n">
        <v>426</v>
      </c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</row>
    <row r="105" ht="16.5" customHeight="1">
      <c r="A105" s="54"/>
      <c r="B105" s="59" t="n">
        <v>76</v>
      </c>
      <c r="C105" s="56" t="s">
        <v>617</v>
      </c>
      <c r="D105" s="56"/>
      <c r="E105" s="56"/>
      <c r="F105" s="60" t="s">
        <v>494</v>
      </c>
      <c r="G105" s="61" t="n">
        <v>1508</v>
      </c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</row>
    <row r="106" ht="16.5" customHeight="1">
      <c r="A106" s="54"/>
      <c r="B106" s="59" t="n">
        <v>77</v>
      </c>
      <c r="C106" s="56" t="s">
        <v>618</v>
      </c>
      <c r="D106" s="56"/>
      <c r="E106" s="56"/>
      <c r="F106" s="60" t="s">
        <v>619</v>
      </c>
      <c r="G106" s="60" t="n">
        <v>892</v>
      </c>
      <c r="H106" s="56" t="s">
        <v>509</v>
      </c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</row>
    <row r="107" ht="16.5" customHeight="1">
      <c r="A107" s="54"/>
      <c r="B107" s="59" t="n">
        <v>78</v>
      </c>
      <c r="C107" s="56" t="s">
        <v>620</v>
      </c>
      <c r="D107" s="56"/>
      <c r="E107" s="56"/>
      <c r="F107" s="60" t="s">
        <v>619</v>
      </c>
      <c r="G107" s="60" t="n">
        <v>816</v>
      </c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</row>
    <row r="108" ht="16.5" customHeight="1">
      <c r="A108" s="54"/>
      <c r="B108" s="59" t="n">
        <v>79</v>
      </c>
      <c r="C108" s="56" t="s">
        <v>621</v>
      </c>
      <c r="D108" s="56"/>
      <c r="E108" s="56"/>
      <c r="F108" s="60" t="s">
        <v>622</v>
      </c>
      <c r="G108" s="61" t="n">
        <v>1637</v>
      </c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</row>
    <row r="109" ht="16.5" customHeight="1">
      <c r="A109" s="54"/>
      <c r="B109" s="59" t="n">
        <v>148</v>
      </c>
      <c r="C109" s="56" t="s">
        <v>623</v>
      </c>
      <c r="D109" s="56"/>
      <c r="E109" s="56"/>
      <c r="F109" s="61" t="n">
        <v>8762</v>
      </c>
      <c r="G109" s="60" t="n">
        <v>524</v>
      </c>
      <c r="H109" s="56" t="s">
        <v>125</v>
      </c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</row>
    <row r="110" ht="16.5" customHeight="1">
      <c r="A110" s="54"/>
      <c r="B110" s="59" t="n">
        <v>81</v>
      </c>
      <c r="C110" s="56" t="s">
        <v>624</v>
      </c>
      <c r="D110" s="56"/>
      <c r="E110" s="56"/>
      <c r="F110" s="60" t="s">
        <v>625</v>
      </c>
      <c r="G110" s="61" t="n">
        <v>1372</v>
      </c>
      <c r="H110" s="56" t="s">
        <v>512</v>
      </c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</row>
    <row r="111" ht="16.5" customHeight="1">
      <c r="A111" s="54"/>
      <c r="B111" s="59" t="n">
        <v>82</v>
      </c>
      <c r="C111" s="56" t="s">
        <v>626</v>
      </c>
      <c r="D111" s="56"/>
      <c r="E111" s="56"/>
      <c r="F111" s="60" t="s">
        <v>627</v>
      </c>
      <c r="G111" s="60" t="n">
        <v>519</v>
      </c>
      <c r="H111" s="56" t="s">
        <v>534</v>
      </c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</row>
    <row r="112" ht="16.5" customHeight="1">
      <c r="A112" s="54"/>
      <c r="B112" s="59" t="n">
        <v>83</v>
      </c>
      <c r="C112" s="56" t="s">
        <v>628</v>
      </c>
      <c r="D112" s="56"/>
      <c r="E112" s="56"/>
      <c r="F112" s="60" t="s">
        <v>627</v>
      </c>
      <c r="G112" s="60" t="n">
        <v>462</v>
      </c>
      <c r="H112" s="56" t="s">
        <v>629</v>
      </c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</row>
    <row r="113" ht="16.5" customHeight="1">
      <c r="A113" s="54"/>
      <c r="B113" s="59" t="n">
        <v>84</v>
      </c>
      <c r="C113" s="56" t="s">
        <v>630</v>
      </c>
      <c r="D113" s="56"/>
      <c r="E113" s="56"/>
      <c r="F113" s="60" t="s">
        <v>627</v>
      </c>
      <c r="G113" s="61" t="n">
        <v>1851</v>
      </c>
      <c r="H113" s="56" t="s">
        <v>498</v>
      </c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</row>
    <row r="114" ht="16.5" customHeight="1">
      <c r="A114" s="54"/>
      <c r="B114" s="59" t="n">
        <v>85</v>
      </c>
      <c r="C114" s="56" t="s">
        <v>631</v>
      </c>
      <c r="D114" s="56"/>
      <c r="E114" s="56"/>
      <c r="F114" s="60" t="s">
        <v>632</v>
      </c>
      <c r="G114" s="61" t="n">
        <v>1149</v>
      </c>
      <c r="H114" s="56" t="s">
        <v>498</v>
      </c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</row>
    <row r="115" ht="16.5" customHeight="1">
      <c r="A115" s="54"/>
      <c r="B115" s="59" t="n">
        <v>86</v>
      </c>
      <c r="C115" s="56" t="s">
        <v>633</v>
      </c>
      <c r="D115" s="56"/>
      <c r="E115" s="56"/>
      <c r="F115" s="60" t="s">
        <v>632</v>
      </c>
      <c r="G115" s="61" t="n">
        <v>1729</v>
      </c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</row>
    <row r="116" ht="16.5" customHeight="1">
      <c r="A116" s="54"/>
      <c r="B116" s="59" t="n">
        <v>87</v>
      </c>
      <c r="C116" s="56" t="s">
        <v>634</v>
      </c>
      <c r="D116" s="56"/>
      <c r="E116" s="56"/>
      <c r="F116" s="60" t="s">
        <v>635</v>
      </c>
      <c r="G116" s="61" t="n">
        <v>1364</v>
      </c>
      <c r="H116" s="56" t="s">
        <v>495</v>
      </c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</row>
    <row r="117" ht="16.5" customHeight="1">
      <c r="A117" s="54"/>
      <c r="B117" s="59" t="n">
        <v>88</v>
      </c>
      <c r="C117" s="56" t="s">
        <v>636</v>
      </c>
      <c r="D117" s="56"/>
      <c r="E117" s="56"/>
      <c r="F117" s="60" t="s">
        <v>635</v>
      </c>
      <c r="G117" s="61" t="n">
        <v>1561</v>
      </c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</row>
    <row r="118" ht="16.5" customHeight="1">
      <c r="A118" s="54"/>
      <c r="B118" s="59" t="n">
        <v>89</v>
      </c>
      <c r="C118" s="56" t="s">
        <v>637</v>
      </c>
      <c r="D118" s="56"/>
      <c r="E118" s="56"/>
      <c r="F118" s="60" t="s">
        <v>635</v>
      </c>
      <c r="G118" s="61" t="n">
        <v>1870</v>
      </c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</row>
    <row r="119" ht="16.5" customHeight="1">
      <c r="A119" s="54"/>
      <c r="B119" s="59" t="n">
        <v>90</v>
      </c>
      <c r="C119" s="56" t="s">
        <v>638</v>
      </c>
      <c r="D119" s="56"/>
      <c r="E119" s="56"/>
      <c r="F119" s="60" t="s">
        <v>639</v>
      </c>
      <c r="G119" s="61" t="n">
        <v>1218</v>
      </c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</row>
    <row r="120" ht="16.5" customHeight="1">
      <c r="A120" s="54"/>
      <c r="B120" s="59" t="n">
        <v>91</v>
      </c>
      <c r="C120" s="56" t="s">
        <v>640</v>
      </c>
      <c r="D120" s="56"/>
      <c r="E120" s="56"/>
      <c r="F120" s="60" t="s">
        <v>641</v>
      </c>
      <c r="G120" s="60" t="n">
        <v>637</v>
      </c>
      <c r="H120" s="56" t="s">
        <v>509</v>
      </c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</row>
    <row r="121" ht="16.5" customHeight="1">
      <c r="A121" s="54"/>
      <c r="B121" s="59" t="n">
        <v>92</v>
      </c>
      <c r="C121" s="56" t="s">
        <v>642</v>
      </c>
      <c r="D121" s="56"/>
      <c r="E121" s="56"/>
      <c r="F121" s="60" t="s">
        <v>641</v>
      </c>
      <c r="G121" s="61" t="n">
        <v>1595</v>
      </c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</row>
    <row r="122" ht="16.5" customHeight="1">
      <c r="A122" s="54"/>
      <c r="B122" s="59" t="n">
        <v>93</v>
      </c>
      <c r="C122" s="56" t="s">
        <v>643</v>
      </c>
      <c r="D122" s="56"/>
      <c r="E122" s="56"/>
      <c r="F122" s="60" t="s">
        <v>641</v>
      </c>
      <c r="G122" s="60" t="n">
        <v>667</v>
      </c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</row>
    <row r="123" ht="16.5" customHeight="1">
      <c r="A123" s="54"/>
      <c r="B123" s="59" t="n">
        <v>94</v>
      </c>
      <c r="C123" s="56" t="s">
        <v>644</v>
      </c>
      <c r="D123" s="56"/>
      <c r="E123" s="56"/>
      <c r="F123" s="60" t="s">
        <v>645</v>
      </c>
      <c r="G123" s="61" t="n">
        <v>1076</v>
      </c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</row>
    <row r="124" ht="16.5" customHeight="1">
      <c r="A124" s="54"/>
      <c r="B124" s="59" t="n">
        <v>95</v>
      </c>
      <c r="C124" s="56" t="s">
        <v>646</v>
      </c>
      <c r="D124" s="56"/>
      <c r="E124" s="56"/>
      <c r="F124" s="60" t="s">
        <v>645</v>
      </c>
      <c r="G124" s="60" t="n">
        <v>714</v>
      </c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</row>
    <row r="125" ht="16.5" customHeight="1">
      <c r="A125" s="54"/>
      <c r="B125" s="59" t="n">
        <v>96</v>
      </c>
      <c r="C125" s="56" t="s">
        <v>647</v>
      </c>
      <c r="D125" s="56"/>
      <c r="E125" s="56"/>
      <c r="F125" s="60" t="s">
        <v>648</v>
      </c>
      <c r="G125" s="60" t="n">
        <v>925</v>
      </c>
      <c r="H125" s="56" t="s">
        <v>509</v>
      </c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</row>
    <row r="126" ht="16.5" customHeight="1">
      <c r="A126" s="54"/>
      <c r="B126" s="59" t="n">
        <v>97</v>
      </c>
      <c r="C126" s="56" t="s">
        <v>649</v>
      </c>
      <c r="D126" s="56"/>
      <c r="E126" s="56"/>
      <c r="F126" s="60" t="s">
        <v>648</v>
      </c>
      <c r="G126" s="61" t="n">
        <v>2111</v>
      </c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</row>
    <row r="127" ht="16.5" customHeight="1">
      <c r="A127" s="54"/>
      <c r="B127" s="59" t="n">
        <v>98</v>
      </c>
      <c r="C127" s="56" t="s">
        <v>650</v>
      </c>
      <c r="D127" s="56"/>
      <c r="E127" s="56"/>
      <c r="F127" s="60" t="s">
        <v>648</v>
      </c>
      <c r="G127" s="60" t="n">
        <v>538</v>
      </c>
      <c r="H127" s="56" t="s">
        <v>558</v>
      </c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</row>
    <row r="128" ht="16.5" customHeight="1">
      <c r="A128" s="54"/>
      <c r="B128" s="59" t="n">
        <v>99</v>
      </c>
      <c r="C128" s="56" t="s">
        <v>651</v>
      </c>
      <c r="D128" s="56"/>
      <c r="E128" s="56"/>
      <c r="F128" s="60" t="s">
        <v>648</v>
      </c>
      <c r="G128" s="61" t="n">
        <v>1385</v>
      </c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</row>
    <row r="129" ht="16.5" customHeight="1">
      <c r="A129" s="54"/>
      <c r="B129" s="59" t="n">
        <v>100</v>
      </c>
      <c r="C129" s="56" t="s">
        <v>652</v>
      </c>
      <c r="D129" s="56"/>
      <c r="E129" s="56"/>
      <c r="F129" s="60" t="s">
        <v>648</v>
      </c>
      <c r="G129" s="61" t="n">
        <v>1272</v>
      </c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</row>
    <row r="130" ht="16.5" customHeight="1">
      <c r="A130" s="54"/>
      <c r="B130" s="59" t="n">
        <v>101</v>
      </c>
      <c r="C130" s="56" t="s">
        <v>653</v>
      </c>
      <c r="D130" s="56"/>
      <c r="E130" s="56"/>
      <c r="F130" s="60" t="s">
        <v>648</v>
      </c>
      <c r="G130" s="60" t="n">
        <v>656</v>
      </c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</row>
    <row r="131" ht="16.5" customHeight="1">
      <c r="A131" s="54"/>
      <c r="B131" s="59" t="n">
        <v>102</v>
      </c>
      <c r="C131" s="56" t="s">
        <v>654</v>
      </c>
      <c r="D131" s="56"/>
      <c r="E131" s="56"/>
      <c r="F131" s="60" t="s">
        <v>655</v>
      </c>
      <c r="G131" s="61" t="n">
        <v>1630</v>
      </c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</row>
    <row r="132" ht="16.5" customHeight="1">
      <c r="A132" s="54"/>
      <c r="B132" s="59" t="n">
        <v>103</v>
      </c>
      <c r="C132" s="56" t="s">
        <v>656</v>
      </c>
      <c r="D132" s="56"/>
      <c r="E132" s="56"/>
      <c r="F132" s="60" t="s">
        <v>655</v>
      </c>
      <c r="G132" s="61" t="n">
        <v>1997</v>
      </c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</row>
    <row r="133" ht="16.5" customHeight="1">
      <c r="A133" s="54"/>
      <c r="B133" s="59" t="n">
        <v>104</v>
      </c>
      <c r="C133" s="56" t="s">
        <v>657</v>
      </c>
      <c r="D133" s="56"/>
      <c r="E133" s="56"/>
      <c r="F133" s="60" t="s">
        <v>655</v>
      </c>
      <c r="G133" s="60" t="n">
        <v>714</v>
      </c>
      <c r="H133" s="56" t="s">
        <v>558</v>
      </c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</row>
    <row r="134" ht="16.5" customHeight="1">
      <c r="A134" s="54"/>
      <c r="B134" s="59" t="n">
        <v>105</v>
      </c>
      <c r="C134" s="56" t="s">
        <v>658</v>
      </c>
      <c r="D134" s="56"/>
      <c r="E134" s="56"/>
      <c r="F134" s="60" t="s">
        <v>659</v>
      </c>
      <c r="G134" s="60" t="n">
        <v>556</v>
      </c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</row>
    <row r="135" ht="16.5" customHeight="1">
      <c r="A135" s="54"/>
      <c r="B135" s="59" t="n">
        <v>106</v>
      </c>
      <c r="C135" s="56" t="s">
        <v>660</v>
      </c>
      <c r="D135" s="56"/>
      <c r="E135" s="56"/>
      <c r="F135" s="60" t="s">
        <v>659</v>
      </c>
      <c r="G135" s="60" t="n">
        <v>411</v>
      </c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</row>
    <row r="136" ht="16.5" customHeight="1">
      <c r="A136" s="54"/>
      <c r="B136" s="59" t="n">
        <v>107</v>
      </c>
      <c r="C136" s="56" t="s">
        <v>661</v>
      </c>
      <c r="D136" s="56"/>
      <c r="E136" s="56"/>
      <c r="F136" s="60" t="s">
        <v>662</v>
      </c>
      <c r="G136" s="60" t="n">
        <v>755</v>
      </c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</row>
    <row r="137" ht="16.5" customHeight="1">
      <c r="A137" s="54"/>
      <c r="B137" s="59" t="n">
        <v>108</v>
      </c>
      <c r="C137" s="56" t="s">
        <v>663</v>
      </c>
      <c r="D137" s="56"/>
      <c r="E137" s="56"/>
      <c r="F137" s="60" t="s">
        <v>662</v>
      </c>
      <c r="G137" s="60" t="n">
        <v>580</v>
      </c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</row>
    <row r="138" ht="16.5" customHeight="1">
      <c r="A138" s="54"/>
      <c r="B138" s="59" t="n">
        <v>109</v>
      </c>
      <c r="C138" s="56" t="s">
        <v>664</v>
      </c>
      <c r="D138" s="56"/>
      <c r="E138" s="56"/>
      <c r="F138" s="60" t="s">
        <v>662</v>
      </c>
      <c r="G138" s="61" t="n">
        <v>1209</v>
      </c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</row>
    <row r="139" ht="16.5" customHeight="1">
      <c r="A139" s="54"/>
      <c r="B139" s="59" t="n">
        <v>110</v>
      </c>
      <c r="C139" s="56" t="s">
        <v>665</v>
      </c>
      <c r="D139" s="56"/>
      <c r="E139" s="56"/>
      <c r="F139" s="60" t="s">
        <v>662</v>
      </c>
      <c r="G139" s="60" t="n">
        <v>790</v>
      </c>
      <c r="H139" s="56" t="s">
        <v>558</v>
      </c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</row>
    <row r="140" ht="16.5" customHeight="1">
      <c r="A140" s="54"/>
      <c r="B140" s="59" t="n">
        <v>111</v>
      </c>
      <c r="C140" s="56" t="s">
        <v>666</v>
      </c>
      <c r="D140" s="56"/>
      <c r="E140" s="56"/>
      <c r="F140" s="60" t="s">
        <v>662</v>
      </c>
      <c r="G140" s="61" t="n">
        <v>1113</v>
      </c>
      <c r="H140" s="56" t="s">
        <v>512</v>
      </c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</row>
    <row r="141" ht="16.5" customHeight="1">
      <c r="A141" s="54"/>
      <c r="B141" s="59" t="n">
        <v>112</v>
      </c>
      <c r="C141" s="56" t="s">
        <v>667</v>
      </c>
      <c r="D141" s="56"/>
      <c r="E141" s="56"/>
      <c r="F141" s="60" t="s">
        <v>662</v>
      </c>
      <c r="G141" s="61" t="n">
        <v>1397</v>
      </c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</row>
    <row r="142" ht="16.5" customHeight="1">
      <c r="A142" s="54"/>
      <c r="B142" s="59" t="n">
        <v>113</v>
      </c>
      <c r="C142" s="56" t="s">
        <v>668</v>
      </c>
      <c r="D142" s="56"/>
      <c r="E142" s="56"/>
      <c r="F142" s="60" t="s">
        <v>669</v>
      </c>
      <c r="G142" s="61" t="n">
        <v>1109</v>
      </c>
      <c r="H142" s="56" t="s">
        <v>495</v>
      </c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</row>
    <row r="143" ht="16.5" customHeight="1">
      <c r="A143" s="54"/>
      <c r="B143" s="59" t="n">
        <v>114</v>
      </c>
      <c r="C143" s="56" t="s">
        <v>670</v>
      </c>
      <c r="D143" s="56"/>
      <c r="E143" s="56"/>
      <c r="F143" s="60" t="s">
        <v>669</v>
      </c>
      <c r="G143" s="60" t="n">
        <v>776</v>
      </c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</row>
    <row r="144" ht="16.5" customHeight="1">
      <c r="A144" s="54"/>
      <c r="B144" s="59" t="n">
        <v>115</v>
      </c>
      <c r="C144" s="56" t="s">
        <v>671</v>
      </c>
      <c r="D144" s="56"/>
      <c r="E144" s="56"/>
      <c r="F144" s="60" t="s">
        <v>672</v>
      </c>
      <c r="G144" s="60" t="n">
        <v>474</v>
      </c>
      <c r="H144" s="56" t="s">
        <v>534</v>
      </c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</row>
    <row r="145" ht="16.5" customHeight="1">
      <c r="A145" s="54"/>
      <c r="B145" s="59" t="n">
        <v>116</v>
      </c>
      <c r="C145" s="56" t="s">
        <v>673</v>
      </c>
      <c r="D145" s="56"/>
      <c r="E145" s="56"/>
      <c r="F145" s="60" t="s">
        <v>674</v>
      </c>
      <c r="G145" s="60" t="n">
        <v>678</v>
      </c>
      <c r="H145" s="56" t="s">
        <v>509</v>
      </c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</row>
    <row r="146" ht="16.5" customHeight="1">
      <c r="A146" s="54"/>
      <c r="B146" s="59" t="n">
        <v>117</v>
      </c>
      <c r="C146" s="56" t="s">
        <v>675</v>
      </c>
      <c r="D146" s="56"/>
      <c r="E146" s="56"/>
      <c r="F146" s="60" t="s">
        <v>674</v>
      </c>
      <c r="G146" s="61" t="n">
        <v>1361</v>
      </c>
      <c r="H146" s="56" t="s">
        <v>512</v>
      </c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</row>
    <row r="147" ht="16.5" customHeight="1">
      <c r="A147" s="54"/>
      <c r="B147" s="59" t="n">
        <v>118</v>
      </c>
      <c r="C147" s="56" t="s">
        <v>676</v>
      </c>
      <c r="D147" s="56"/>
      <c r="E147" s="56"/>
      <c r="F147" s="60" t="s">
        <v>677</v>
      </c>
      <c r="G147" s="61" t="n">
        <v>1555</v>
      </c>
      <c r="H147" s="56" t="s">
        <v>495</v>
      </c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</row>
    <row r="148" ht="16.5" customHeight="1">
      <c r="A148" s="54"/>
      <c r="B148" s="59" t="n">
        <v>119</v>
      </c>
      <c r="C148" s="56" t="s">
        <v>678</v>
      </c>
      <c r="D148" s="56"/>
      <c r="E148" s="56"/>
      <c r="F148" s="60" t="s">
        <v>679</v>
      </c>
      <c r="G148" s="61" t="n">
        <v>1117</v>
      </c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</row>
    <row r="149" ht="16.5" customHeight="1">
      <c r="A149" s="54"/>
      <c r="B149" s="59" t="n">
        <v>120</v>
      </c>
      <c r="C149" s="56" t="s">
        <v>680</v>
      </c>
      <c r="D149" s="56"/>
      <c r="E149" s="56"/>
      <c r="F149" s="60" t="s">
        <v>681</v>
      </c>
      <c r="G149" s="61" t="n">
        <v>1019</v>
      </c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</row>
    <row r="150" ht="16.5" customHeight="1">
      <c r="A150" s="54"/>
      <c r="B150" s="59" t="n">
        <v>121</v>
      </c>
      <c r="C150" s="56" t="s">
        <v>682</v>
      </c>
      <c r="D150" s="56"/>
      <c r="E150" s="56"/>
      <c r="F150" s="60" t="s">
        <v>683</v>
      </c>
      <c r="G150" s="61" t="n">
        <v>1392</v>
      </c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</row>
    <row r="151" ht="16.5" customHeight="1">
      <c r="A151" s="54"/>
      <c r="B151" s="59" t="n">
        <v>122</v>
      </c>
      <c r="C151" s="56" t="s">
        <v>684</v>
      </c>
      <c r="D151" s="56"/>
      <c r="E151" s="56"/>
      <c r="F151" s="60" t="s">
        <v>683</v>
      </c>
      <c r="G151" s="61" t="n">
        <v>2003</v>
      </c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</row>
    <row r="152" ht="16.5" customHeight="1">
      <c r="A152" s="54"/>
      <c r="B152" s="59" t="n">
        <v>123</v>
      </c>
      <c r="C152" s="56" t="s">
        <v>685</v>
      </c>
      <c r="D152" s="56"/>
      <c r="E152" s="56"/>
      <c r="F152" s="60" t="s">
        <v>683</v>
      </c>
      <c r="G152" s="60" t="n">
        <v>783</v>
      </c>
      <c r="H152" s="56" t="s">
        <v>509</v>
      </c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</row>
    <row r="153" ht="16.5" customHeight="1">
      <c r="A153" s="54"/>
      <c r="B153" s="59" t="n">
        <v>124</v>
      </c>
      <c r="C153" s="56" t="s">
        <v>686</v>
      </c>
      <c r="D153" s="56"/>
      <c r="E153" s="56"/>
      <c r="F153" s="60" t="s">
        <v>683</v>
      </c>
      <c r="G153" s="61" t="n">
        <v>1254</v>
      </c>
      <c r="H153" s="56" t="s">
        <v>476</v>
      </c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</row>
    <row r="154" ht="16.5" customHeight="1">
      <c r="A154" s="54"/>
      <c r="B154" s="59" t="n">
        <v>125</v>
      </c>
      <c r="C154" s="56" t="s">
        <v>687</v>
      </c>
      <c r="D154" s="56"/>
      <c r="E154" s="56"/>
      <c r="F154" s="60" t="s">
        <v>688</v>
      </c>
      <c r="G154" s="60" t="n">
        <v>789</v>
      </c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</row>
    <row r="155" ht="16.5" customHeight="1">
      <c r="A155" s="54"/>
      <c r="B155" s="59" t="n">
        <v>126</v>
      </c>
      <c r="C155" s="56" t="s">
        <v>689</v>
      </c>
      <c r="D155" s="56"/>
      <c r="E155" s="56"/>
      <c r="F155" s="60" t="s">
        <v>690</v>
      </c>
      <c r="G155" s="61" t="n">
        <v>1900</v>
      </c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</row>
    <row r="156" ht="16.5" customHeight="1">
      <c r="A156" s="54"/>
      <c r="B156" s="59" t="n">
        <v>127</v>
      </c>
      <c r="C156" s="56" t="s">
        <v>691</v>
      </c>
      <c r="D156" s="56"/>
      <c r="E156" s="56"/>
      <c r="F156" s="60" t="s">
        <v>692</v>
      </c>
      <c r="G156" s="61" t="n">
        <v>1571</v>
      </c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</row>
    <row r="157" ht="16.5" customHeight="1">
      <c r="A157" s="54"/>
      <c r="B157" s="59" t="n">
        <v>128</v>
      </c>
      <c r="C157" s="56" t="s">
        <v>693</v>
      </c>
      <c r="D157" s="56"/>
      <c r="E157" s="56"/>
      <c r="F157" s="60" t="s">
        <v>692</v>
      </c>
      <c r="G157" s="60" t="n">
        <v>372</v>
      </c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</row>
    <row r="158" ht="16.5" customHeight="1">
      <c r="A158" s="54"/>
      <c r="B158" s="59" t="n">
        <v>129</v>
      </c>
      <c r="C158" s="56" t="s">
        <v>694</v>
      </c>
      <c r="D158" s="56"/>
      <c r="E158" s="56"/>
      <c r="F158" s="61" t="n">
        <v>9940</v>
      </c>
      <c r="G158" s="60" t="n">
        <v>618</v>
      </c>
      <c r="H158" s="56" t="s">
        <v>509</v>
      </c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</row>
    <row r="159" ht="16.5" customHeight="1">
      <c r="A159" s="54"/>
      <c r="B159" s="59" t="n">
        <v>130</v>
      </c>
      <c r="C159" s="56" t="s">
        <v>695</v>
      </c>
      <c r="D159" s="56"/>
      <c r="E159" s="56"/>
      <c r="F159" s="61" t="n">
        <v>9857</v>
      </c>
      <c r="G159" s="60" t="n">
        <v>512</v>
      </c>
      <c r="H159" s="56" t="s">
        <v>476</v>
      </c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</row>
    <row r="160" ht="16.5" customHeight="1">
      <c r="A160" s="54"/>
      <c r="B160" s="59" t="n">
        <v>131</v>
      </c>
      <c r="C160" s="56" t="s">
        <v>696</v>
      </c>
      <c r="D160" s="56"/>
      <c r="E160" s="56"/>
      <c r="F160" s="61" t="n">
        <v>9624</v>
      </c>
      <c r="G160" s="60" t="n">
        <v>297</v>
      </c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</row>
    <row r="161" ht="16.5" customHeight="1">
      <c r="A161" s="54"/>
      <c r="B161" s="59" t="n">
        <v>132</v>
      </c>
      <c r="C161" s="56" t="s">
        <v>697</v>
      </c>
      <c r="D161" s="56"/>
      <c r="E161" s="56"/>
      <c r="F161" s="61" t="n">
        <v>9509</v>
      </c>
      <c r="G161" s="60" t="n">
        <v>468</v>
      </c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</row>
    <row r="162" ht="16.5" customHeight="1">
      <c r="A162" s="54"/>
      <c r="B162" s="59" t="n">
        <v>133</v>
      </c>
      <c r="C162" s="56" t="s">
        <v>698</v>
      </c>
      <c r="D162" s="56"/>
      <c r="E162" s="56"/>
      <c r="F162" s="61" t="n">
        <v>9452</v>
      </c>
      <c r="G162" s="61" t="n">
        <v>1169</v>
      </c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</row>
    <row r="163" ht="16.5" customHeight="1">
      <c r="A163" s="54"/>
      <c r="B163" s="59" t="n">
        <v>134</v>
      </c>
      <c r="C163" s="56" t="s">
        <v>699</v>
      </c>
      <c r="D163" s="56"/>
      <c r="E163" s="56"/>
      <c r="F163" s="61" t="n">
        <v>9364</v>
      </c>
      <c r="G163" s="61" t="n">
        <v>1245</v>
      </c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</row>
    <row r="164" ht="16.5" customHeight="1">
      <c r="A164" s="54"/>
      <c r="B164" s="59" t="n">
        <v>135</v>
      </c>
      <c r="C164" s="56" t="s">
        <v>700</v>
      </c>
      <c r="D164" s="56"/>
      <c r="E164" s="56"/>
      <c r="F164" s="61" t="n">
        <v>9340</v>
      </c>
      <c r="G164" s="60" t="n">
        <v>415</v>
      </c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</row>
    <row r="165" ht="16.5" customHeight="1">
      <c r="A165" s="54"/>
      <c r="B165" s="59" t="n">
        <v>136</v>
      </c>
      <c r="C165" s="56" t="s">
        <v>701</v>
      </c>
      <c r="D165" s="56"/>
      <c r="E165" s="56"/>
      <c r="F165" s="61" t="n">
        <v>9261</v>
      </c>
      <c r="G165" s="61" t="n">
        <v>1404</v>
      </c>
      <c r="H165" s="56" t="s">
        <v>629</v>
      </c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</row>
    <row r="166" ht="16.5" customHeight="1">
      <c r="A166" s="54"/>
      <c r="B166" s="59" t="n">
        <v>137</v>
      </c>
      <c r="C166" s="56" t="s">
        <v>702</v>
      </c>
      <c r="D166" s="56"/>
      <c r="E166" s="56"/>
      <c r="F166" s="61" t="n">
        <v>9214</v>
      </c>
      <c r="G166" s="60" t="n">
        <v>527</v>
      </c>
      <c r="H166" s="56" t="s">
        <v>558</v>
      </c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</row>
    <row r="167" ht="16.5" customHeight="1">
      <c r="A167" s="54"/>
      <c r="B167" s="59" t="n">
        <v>138</v>
      </c>
      <c r="C167" s="56" t="s">
        <v>703</v>
      </c>
      <c r="D167" s="56"/>
      <c r="E167" s="56"/>
      <c r="F167" s="61" t="n">
        <v>9201</v>
      </c>
      <c r="G167" s="60" t="n">
        <v>723</v>
      </c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</row>
    <row r="168" ht="16.5" customHeight="1">
      <c r="A168" s="54"/>
      <c r="B168" s="59" t="n">
        <v>139</v>
      </c>
      <c r="C168" s="56" t="s">
        <v>704</v>
      </c>
      <c r="D168" s="56"/>
      <c r="E168" s="56"/>
      <c r="F168" s="61" t="n">
        <v>9167</v>
      </c>
      <c r="G168" s="60" t="n">
        <v>476</v>
      </c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</row>
    <row r="169" ht="16.5" customHeight="1">
      <c r="A169" s="54"/>
      <c r="B169" s="59" t="n">
        <v>140</v>
      </c>
      <c r="C169" s="56" t="s">
        <v>705</v>
      </c>
      <c r="D169" s="56"/>
      <c r="E169" s="56"/>
      <c r="F169" s="61" t="n">
        <v>9122</v>
      </c>
      <c r="G169" s="60" t="n">
        <v>321</v>
      </c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</row>
    <row r="170" ht="16.5" customHeight="1">
      <c r="A170" s="54"/>
      <c r="B170" s="59" t="n">
        <v>141</v>
      </c>
      <c r="C170" s="56" t="s">
        <v>706</v>
      </c>
      <c r="D170" s="56"/>
      <c r="E170" s="56"/>
      <c r="F170" s="61" t="n">
        <v>9078</v>
      </c>
      <c r="G170" s="60" t="n">
        <v>556</v>
      </c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</row>
    <row r="171" ht="16.5" customHeight="1">
      <c r="A171" s="54"/>
      <c r="B171" s="59" t="n">
        <v>142</v>
      </c>
      <c r="C171" s="56" t="s">
        <v>707</v>
      </c>
      <c r="D171" s="56"/>
      <c r="E171" s="56"/>
      <c r="F171" s="61" t="n">
        <v>9068</v>
      </c>
      <c r="G171" s="61" t="n">
        <v>1239</v>
      </c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</row>
    <row r="172" ht="16.5" customHeight="1">
      <c r="A172" s="54"/>
      <c r="B172" s="59" t="n">
        <v>143</v>
      </c>
      <c r="C172" s="56" t="s">
        <v>708</v>
      </c>
      <c r="D172" s="56"/>
      <c r="E172" s="56"/>
      <c r="F172" s="61" t="n">
        <v>9059</v>
      </c>
      <c r="G172" s="60" t="n">
        <v>472</v>
      </c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</row>
    <row r="173" ht="16.5" customHeight="1">
      <c r="A173" s="54"/>
      <c r="B173" s="59" t="n">
        <v>80</v>
      </c>
      <c r="C173" s="56" t="s">
        <v>709</v>
      </c>
      <c r="D173" s="56"/>
      <c r="E173" s="56"/>
      <c r="F173" s="60" t="s">
        <v>625</v>
      </c>
      <c r="G173" s="60" t="n">
        <v>933</v>
      </c>
      <c r="H173" s="56" t="s">
        <v>125</v>
      </c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</row>
    <row r="174" ht="16.5" customHeight="1">
      <c r="A174" s="54"/>
      <c r="B174" s="59" t="n">
        <v>145</v>
      </c>
      <c r="C174" s="56" t="s">
        <v>710</v>
      </c>
      <c r="D174" s="56"/>
      <c r="E174" s="56"/>
      <c r="F174" s="61" t="n">
        <v>8924</v>
      </c>
      <c r="G174" s="60" t="n">
        <v>837</v>
      </c>
      <c r="H174" s="56" t="s">
        <v>476</v>
      </c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</row>
    <row r="175" ht="16.5" customHeight="1">
      <c r="A175" s="54"/>
      <c r="B175" s="59" t="n">
        <v>146</v>
      </c>
      <c r="C175" s="56" t="s">
        <v>711</v>
      </c>
      <c r="D175" s="56"/>
      <c r="E175" s="56"/>
      <c r="F175" s="61" t="n">
        <v>8900</v>
      </c>
      <c r="G175" s="60" t="n">
        <v>543</v>
      </c>
      <c r="H175" s="56" t="s">
        <v>534</v>
      </c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</row>
    <row r="176" ht="16.5" customHeight="1">
      <c r="A176" s="54"/>
      <c r="B176" s="59" t="n">
        <v>147</v>
      </c>
      <c r="C176" s="56" t="s">
        <v>712</v>
      </c>
      <c r="D176" s="56"/>
      <c r="E176" s="56"/>
      <c r="F176" s="61" t="n">
        <v>8836</v>
      </c>
      <c r="G176" s="60" t="n">
        <v>198</v>
      </c>
      <c r="H176" s="56" t="s">
        <v>534</v>
      </c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</row>
    <row r="177" ht="16.5" customHeight="1">
      <c r="A177" s="54"/>
      <c r="B177" s="59" t="n">
        <v>144</v>
      </c>
      <c r="C177" s="56" t="s">
        <v>713</v>
      </c>
      <c r="D177" s="56"/>
      <c r="E177" s="56"/>
      <c r="F177" s="61" t="n">
        <v>8932</v>
      </c>
      <c r="G177" s="60" t="n">
        <v>239</v>
      </c>
      <c r="H177" s="56" t="s">
        <v>125</v>
      </c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</row>
    <row r="178" ht="16.5" customHeight="1">
      <c r="A178" s="54"/>
      <c r="B178" s="59" t="n">
        <v>149</v>
      </c>
      <c r="C178" s="56" t="s">
        <v>714</v>
      </c>
      <c r="D178" s="56"/>
      <c r="E178" s="56"/>
      <c r="F178" s="61" t="n">
        <v>8715</v>
      </c>
      <c r="G178" s="61" t="n">
        <v>1606</v>
      </c>
      <c r="H178" s="56" t="s">
        <v>629</v>
      </c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</row>
    <row r="179" ht="16.5" customHeight="1">
      <c r="A179" s="54"/>
      <c r="B179" s="59" t="n">
        <v>150</v>
      </c>
      <c r="C179" s="56" t="s">
        <v>715</v>
      </c>
      <c r="D179" s="56"/>
      <c r="E179" s="56"/>
      <c r="F179" s="61" t="n">
        <v>8650</v>
      </c>
      <c r="G179" s="61" t="n">
        <v>1710</v>
      </c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</row>
    <row r="180" ht="16.5" customHeight="1">
      <c r="A180" s="54"/>
      <c r="B180" s="59" t="n">
        <v>151</v>
      </c>
      <c r="C180" s="56" t="s">
        <v>716</v>
      </c>
      <c r="D180" s="56"/>
      <c r="E180" s="56"/>
      <c r="F180" s="61" t="n">
        <v>8576</v>
      </c>
      <c r="G180" s="60" t="n">
        <v>440</v>
      </c>
      <c r="H180" s="56" t="s">
        <v>125</v>
      </c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</row>
    <row r="181" ht="16.5" customHeight="1">
      <c r="A181" s="54"/>
      <c r="B181" s="59" t="n">
        <v>152</v>
      </c>
      <c r="C181" s="56" t="s">
        <v>717</v>
      </c>
      <c r="D181" s="56"/>
      <c r="E181" s="56"/>
      <c r="F181" s="61" t="n">
        <v>8481</v>
      </c>
      <c r="G181" s="61" t="n">
        <v>1181</v>
      </c>
      <c r="H181" s="56" t="s">
        <v>629</v>
      </c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</row>
    <row r="182" ht="16.5" customHeight="1">
      <c r="A182" s="54"/>
      <c r="B182" s="59" t="n">
        <v>153</v>
      </c>
      <c r="C182" s="56" t="s">
        <v>718</v>
      </c>
      <c r="D182" s="56"/>
      <c r="E182" s="56"/>
      <c r="F182" s="61" t="n">
        <v>8335</v>
      </c>
      <c r="G182" s="60" t="n">
        <v>669</v>
      </c>
      <c r="H182" s="56" t="s">
        <v>558</v>
      </c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</row>
    <row r="183" ht="16.5" customHeight="1">
      <c r="A183" s="54"/>
      <c r="B183" s="59" t="n">
        <v>154</v>
      </c>
      <c r="C183" s="56" t="s">
        <v>719</v>
      </c>
      <c r="D183" s="56"/>
      <c r="E183" s="56"/>
      <c r="F183" s="61" t="n">
        <v>8327</v>
      </c>
      <c r="G183" s="60" t="n">
        <v>354</v>
      </c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</row>
    <row r="184" ht="16.5" customHeight="1">
      <c r="A184" s="54"/>
      <c r="B184" s="59" t="n">
        <v>155</v>
      </c>
      <c r="C184" s="56" t="s">
        <v>720</v>
      </c>
      <c r="D184" s="56"/>
      <c r="E184" s="56"/>
      <c r="F184" s="61" t="n">
        <v>8257</v>
      </c>
      <c r="G184" s="60" t="n">
        <v>671</v>
      </c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</row>
    <row r="185" ht="16.5" customHeight="1">
      <c r="A185" s="54"/>
      <c r="B185" s="59" t="n">
        <v>156</v>
      </c>
      <c r="C185" s="56" t="s">
        <v>721</v>
      </c>
      <c r="D185" s="56"/>
      <c r="E185" s="56"/>
      <c r="F185" s="61" t="n">
        <v>8163</v>
      </c>
      <c r="G185" s="61" t="n">
        <v>1090</v>
      </c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</row>
    <row r="186" ht="16.5" customHeight="1">
      <c r="A186" s="54"/>
      <c r="B186" s="59" t="n">
        <v>157</v>
      </c>
      <c r="C186" s="56" t="s">
        <v>722</v>
      </c>
      <c r="D186" s="56"/>
      <c r="E186" s="56"/>
      <c r="F186" s="61" t="n">
        <v>8158</v>
      </c>
      <c r="G186" s="61" t="n">
        <v>1109</v>
      </c>
      <c r="H186" s="56" t="s">
        <v>512</v>
      </c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</row>
    <row r="187" ht="16.5" customHeight="1">
      <c r="A187" s="54"/>
      <c r="B187" s="59" t="n">
        <v>158</v>
      </c>
      <c r="C187" s="56" t="s">
        <v>723</v>
      </c>
      <c r="D187" s="56"/>
      <c r="E187" s="56"/>
      <c r="F187" s="61" t="n">
        <v>8075</v>
      </c>
      <c r="G187" s="60" t="n">
        <v>625</v>
      </c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</row>
    <row r="188" ht="16.5" customHeight="1">
      <c r="A188" s="54"/>
      <c r="B188" s="59" t="n">
        <v>159</v>
      </c>
      <c r="C188" s="56" t="s">
        <v>724</v>
      </c>
      <c r="D188" s="56"/>
      <c r="E188" s="56"/>
      <c r="F188" s="61" t="n">
        <v>8042</v>
      </c>
      <c r="G188" s="60" t="n">
        <v>398</v>
      </c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</row>
    <row r="189" ht="16.5" customHeight="1">
      <c r="A189" s="58" t="s">
        <v>458</v>
      </c>
      <c r="B189" s="62" t="s">
        <v>725</v>
      </c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6"/>
    </row>
    <row r="190" ht="16.5" customHeight="1">
      <c r="A190" s="63" t="s">
        <v>726</v>
      </c>
      <c r="B190" s="64" t="s">
        <v>462</v>
      </c>
      <c r="C190" s="64" t="s">
        <v>463</v>
      </c>
      <c r="D190" s="64"/>
      <c r="E190" s="64"/>
      <c r="F190" s="64" t="s">
        <v>464</v>
      </c>
      <c r="G190" s="64" t="s">
        <v>465</v>
      </c>
      <c r="H190" s="65" t="s">
        <v>727</v>
      </c>
      <c r="I190" s="54"/>
      <c r="J190" s="66" t="s">
        <v>728</v>
      </c>
      <c r="K190" s="67" t="s">
        <v>462</v>
      </c>
      <c r="L190" s="67" t="s">
        <v>463</v>
      </c>
      <c r="M190" s="67"/>
      <c r="N190" s="67"/>
      <c r="O190" s="67" t="s">
        <v>464</v>
      </c>
      <c r="P190" s="67" t="s">
        <v>465</v>
      </c>
      <c r="Q190" s="66" t="s">
        <v>727</v>
      </c>
      <c r="R190" s="54"/>
      <c r="S190" s="56"/>
    </row>
    <row r="191" ht="16.5" customHeight="1">
      <c r="A191" s="54"/>
      <c r="B191" s="64" t="n">
        <v>11</v>
      </c>
      <c r="C191" s="64" t="s">
        <v>496</v>
      </c>
      <c r="D191" s="64"/>
      <c r="E191" s="64"/>
      <c r="F191" s="64" t="s">
        <v>497</v>
      </c>
      <c r="G191" s="64" t="n">
        <v>9161</v>
      </c>
      <c r="H191" s="82" t="s">
        <v>729</v>
      </c>
      <c r="I191" s="54"/>
      <c r="J191" s="54"/>
      <c r="K191" s="67" t="n">
        <v>10</v>
      </c>
      <c r="L191" s="67" t="s">
        <v>493</v>
      </c>
      <c r="M191" s="67"/>
      <c r="N191" s="67"/>
      <c r="O191" s="68" t="s">
        <v>469</v>
      </c>
      <c r="P191" s="67" t="s">
        <v>494</v>
      </c>
      <c r="Q191" s="83" t="s">
        <v>730</v>
      </c>
      <c r="R191" s="54"/>
      <c r="S191" s="70"/>
    </row>
    <row r="192" ht="16.5" customHeight="1">
      <c r="A192" s="54"/>
      <c r="B192" s="64" t="n">
        <v>12</v>
      </c>
      <c r="C192" s="64" t="s">
        <v>499</v>
      </c>
      <c r="D192" s="64"/>
      <c r="E192" s="64"/>
      <c r="F192" s="64" t="s">
        <v>500</v>
      </c>
      <c r="G192" s="64" t="n">
        <v>7327</v>
      </c>
      <c r="H192" s="54"/>
      <c r="I192" s="54"/>
      <c r="J192" s="54"/>
      <c r="K192" s="67" t="n">
        <v>35</v>
      </c>
      <c r="L192" s="67" t="s">
        <v>549</v>
      </c>
      <c r="M192" s="67"/>
      <c r="N192" s="67"/>
      <c r="O192" s="68" t="s">
        <v>550</v>
      </c>
      <c r="P192" s="67" t="n">
        <v>2608</v>
      </c>
      <c r="Q192" s="54"/>
      <c r="R192" s="54"/>
      <c r="S192" s="70"/>
    </row>
    <row r="193" ht="16.5" customHeight="1">
      <c r="A193" s="54"/>
      <c r="B193" s="64" t="n">
        <v>13</v>
      </c>
      <c r="C193" s="64" t="s">
        <v>501</v>
      </c>
      <c r="D193" s="64"/>
      <c r="E193" s="64"/>
      <c r="F193" s="64" t="s">
        <v>502</v>
      </c>
      <c r="G193" s="64" t="n">
        <v>8290</v>
      </c>
      <c r="H193" s="54"/>
      <c r="I193" s="54"/>
      <c r="J193" s="54"/>
      <c r="K193" s="67" t="n">
        <v>59</v>
      </c>
      <c r="L193" s="67" t="s">
        <v>592</v>
      </c>
      <c r="M193" s="67"/>
      <c r="N193" s="67"/>
      <c r="O193" s="68" t="s">
        <v>591</v>
      </c>
      <c r="P193" s="67" t="n">
        <v>2283</v>
      </c>
      <c r="Q193" s="54"/>
      <c r="R193" s="54"/>
      <c r="S193" s="70"/>
    </row>
    <row r="194" ht="16.5" customHeight="1">
      <c r="A194" s="54"/>
      <c r="B194" s="64" t="n">
        <v>19</v>
      </c>
      <c r="C194" s="64" t="s">
        <v>515</v>
      </c>
      <c r="D194" s="64"/>
      <c r="E194" s="64"/>
      <c r="F194" s="64" t="s">
        <v>516</v>
      </c>
      <c r="G194" s="71" t="s">
        <v>517</v>
      </c>
      <c r="H194" s="54"/>
      <c r="I194" s="54"/>
      <c r="J194" s="54"/>
      <c r="K194" s="67" t="n">
        <v>67</v>
      </c>
      <c r="L194" s="67" t="s">
        <v>604</v>
      </c>
      <c r="M194" s="67"/>
      <c r="N194" s="67"/>
      <c r="O194" s="68" t="s">
        <v>602</v>
      </c>
      <c r="P194" s="67" t="n">
        <v>781</v>
      </c>
      <c r="Q194" s="54"/>
      <c r="R194" s="54"/>
      <c r="S194" s="70"/>
    </row>
    <row r="195" ht="16.5" customHeight="1">
      <c r="A195" s="54"/>
      <c r="B195" s="64" t="n">
        <v>21</v>
      </c>
      <c r="C195" s="64" t="s">
        <v>520</v>
      </c>
      <c r="D195" s="64"/>
      <c r="E195" s="64"/>
      <c r="F195" s="64" t="s">
        <v>521</v>
      </c>
      <c r="G195" s="64" t="n">
        <v>4904</v>
      </c>
      <c r="H195" s="54"/>
      <c r="I195" s="54"/>
      <c r="J195" s="54"/>
      <c r="K195" s="67" t="n">
        <v>87</v>
      </c>
      <c r="L195" s="67" t="s">
        <v>634</v>
      </c>
      <c r="M195" s="67"/>
      <c r="N195" s="67"/>
      <c r="O195" s="68" t="s">
        <v>635</v>
      </c>
      <c r="P195" s="67" t="n">
        <v>1364</v>
      </c>
      <c r="Q195" s="54"/>
      <c r="R195" s="54"/>
      <c r="S195" s="70"/>
    </row>
    <row r="196" ht="16.5" customHeight="1">
      <c r="A196" s="54"/>
      <c r="B196" s="64" t="n">
        <v>22</v>
      </c>
      <c r="C196" s="64" t="s">
        <v>522</v>
      </c>
      <c r="D196" s="64"/>
      <c r="E196" s="64"/>
      <c r="F196" s="64" t="s">
        <v>523</v>
      </c>
      <c r="G196" s="64" t="n">
        <v>4353</v>
      </c>
      <c r="H196" s="54"/>
      <c r="I196" s="54"/>
      <c r="J196" s="54"/>
      <c r="K196" s="67" t="n">
        <v>113</v>
      </c>
      <c r="L196" s="67" t="s">
        <v>668</v>
      </c>
      <c r="M196" s="67"/>
      <c r="N196" s="67"/>
      <c r="O196" s="68" t="s">
        <v>669</v>
      </c>
      <c r="P196" s="67" t="n">
        <v>1109</v>
      </c>
      <c r="Q196" s="54"/>
      <c r="R196" s="54"/>
      <c r="S196" s="70"/>
    </row>
    <row r="197" ht="16.5" customHeight="1">
      <c r="A197" s="54"/>
      <c r="B197" s="64" t="n">
        <v>26</v>
      </c>
      <c r="C197" s="64" t="s">
        <v>530</v>
      </c>
      <c r="D197" s="64"/>
      <c r="E197" s="64"/>
      <c r="F197" s="64" t="s">
        <v>531</v>
      </c>
      <c r="G197" s="64" t="n">
        <v>3711</v>
      </c>
      <c r="H197" s="54"/>
      <c r="I197" s="54"/>
      <c r="J197" s="54"/>
      <c r="K197" s="67" t="n">
        <v>118</v>
      </c>
      <c r="L197" s="67" t="s">
        <v>676</v>
      </c>
      <c r="M197" s="67"/>
      <c r="N197" s="67"/>
      <c r="O197" s="68" t="s">
        <v>677</v>
      </c>
      <c r="P197" s="67" t="n">
        <v>1555</v>
      </c>
      <c r="Q197" s="54"/>
      <c r="R197" s="54"/>
      <c r="S197" s="70"/>
    </row>
    <row r="198" ht="16.5" customHeight="1">
      <c r="A198" s="54"/>
      <c r="B198" s="64" t="n">
        <v>32</v>
      </c>
      <c r="C198" s="64" t="s">
        <v>543</v>
      </c>
      <c r="D198" s="64"/>
      <c r="E198" s="64"/>
      <c r="F198" s="64" t="s">
        <v>544</v>
      </c>
      <c r="G198" s="64" t="n">
        <v>2489</v>
      </c>
      <c r="H198" s="54"/>
      <c r="I198" s="54"/>
      <c r="J198" s="72"/>
      <c r="K198" s="72"/>
      <c r="L198" s="72"/>
      <c r="M198" s="72"/>
      <c r="N198" s="72"/>
      <c r="O198" s="72"/>
      <c r="P198" s="72"/>
      <c r="Q198" s="54"/>
      <c r="R198" s="54"/>
      <c r="S198" s="70"/>
    </row>
    <row r="199" ht="16.5" customHeight="1">
      <c r="A199" s="54"/>
      <c r="B199" s="64" t="n">
        <v>33</v>
      </c>
      <c r="C199" s="64" t="s">
        <v>545</v>
      </c>
      <c r="D199" s="64"/>
      <c r="E199" s="64"/>
      <c r="F199" s="64" t="s">
        <v>546</v>
      </c>
      <c r="G199" s="64" t="n">
        <v>1858</v>
      </c>
      <c r="H199" s="54"/>
      <c r="I199" s="54"/>
      <c r="J199" s="69" t="s">
        <v>731</v>
      </c>
      <c r="K199" s="67" t="s">
        <v>462</v>
      </c>
      <c r="L199" s="67" t="s">
        <v>463</v>
      </c>
      <c r="M199" s="67"/>
      <c r="N199" s="67"/>
      <c r="O199" s="68" t="s">
        <v>464</v>
      </c>
      <c r="P199" s="67" t="s">
        <v>465</v>
      </c>
      <c r="Q199" s="54"/>
      <c r="R199" s="54"/>
      <c r="S199" s="70"/>
    </row>
    <row r="200" ht="16.5" customHeight="1">
      <c r="A200" s="54"/>
      <c r="B200" s="64" t="n">
        <v>36</v>
      </c>
      <c r="C200" s="64" t="s">
        <v>551</v>
      </c>
      <c r="D200" s="64"/>
      <c r="E200" s="64"/>
      <c r="F200" s="64" t="s">
        <v>552</v>
      </c>
      <c r="G200" s="64" t="n">
        <v>2371</v>
      </c>
      <c r="H200" s="54"/>
      <c r="I200" s="54"/>
      <c r="J200" s="54"/>
      <c r="K200" s="67" t="n">
        <v>39</v>
      </c>
      <c r="L200" s="67" t="s">
        <v>556</v>
      </c>
      <c r="M200" s="67"/>
      <c r="N200" s="67"/>
      <c r="O200" s="68" t="s">
        <v>557</v>
      </c>
      <c r="P200" s="67" t="n">
        <v>1338</v>
      </c>
      <c r="Q200" s="54"/>
      <c r="R200" s="54"/>
      <c r="S200" s="70"/>
    </row>
    <row r="201" ht="16.5" customHeight="1">
      <c r="A201" s="54"/>
      <c r="B201" s="64" t="n">
        <v>40</v>
      </c>
      <c r="C201" s="64" t="s">
        <v>559</v>
      </c>
      <c r="D201" s="64"/>
      <c r="E201" s="64"/>
      <c r="F201" s="64" t="s">
        <v>557</v>
      </c>
      <c r="G201" s="64" t="n">
        <v>3321</v>
      </c>
      <c r="H201" s="54"/>
      <c r="I201" s="54"/>
      <c r="J201" s="54"/>
      <c r="K201" s="67" t="n">
        <v>43</v>
      </c>
      <c r="L201" s="67" t="s">
        <v>564</v>
      </c>
      <c r="M201" s="67"/>
      <c r="N201" s="67"/>
      <c r="O201" s="68" t="s">
        <v>565</v>
      </c>
      <c r="P201" s="67" t="n">
        <v>1517</v>
      </c>
      <c r="Q201" s="54"/>
      <c r="R201" s="54"/>
      <c r="S201" s="70"/>
    </row>
    <row r="202" ht="16.5" customHeight="1">
      <c r="A202" s="54"/>
      <c r="B202" s="64" t="n">
        <v>44</v>
      </c>
      <c r="C202" s="64" t="s">
        <v>566</v>
      </c>
      <c r="D202" s="64"/>
      <c r="E202" s="64"/>
      <c r="F202" s="64" t="s">
        <v>567</v>
      </c>
      <c r="G202" s="64" t="n">
        <v>1970</v>
      </c>
      <c r="H202" s="54"/>
      <c r="I202" s="54"/>
      <c r="J202" s="54"/>
      <c r="K202" s="67" t="n">
        <v>63</v>
      </c>
      <c r="L202" s="67" t="s">
        <v>598</v>
      </c>
      <c r="M202" s="67"/>
      <c r="N202" s="67"/>
      <c r="O202" s="68" t="s">
        <v>599</v>
      </c>
      <c r="P202" s="67" t="n">
        <v>873</v>
      </c>
      <c r="Q202" s="54"/>
      <c r="R202" s="54"/>
      <c r="S202" s="70"/>
    </row>
    <row r="203" ht="16.5" customHeight="1">
      <c r="A203" s="54"/>
      <c r="B203" s="64" t="n">
        <v>60</v>
      </c>
      <c r="C203" s="64" t="s">
        <v>593</v>
      </c>
      <c r="D203" s="64"/>
      <c r="E203" s="64"/>
      <c r="F203" s="64" t="s">
        <v>594</v>
      </c>
      <c r="G203" s="64" t="n">
        <v>1108</v>
      </c>
      <c r="H203" s="54"/>
      <c r="I203" s="54"/>
      <c r="J203" s="54"/>
      <c r="K203" s="67" t="n">
        <v>64</v>
      </c>
      <c r="L203" s="67" t="s">
        <v>600</v>
      </c>
      <c r="M203" s="67"/>
      <c r="N203" s="67"/>
      <c r="O203" s="68" t="s">
        <v>481</v>
      </c>
      <c r="P203" s="67" t="n">
        <v>813</v>
      </c>
      <c r="Q203" s="54"/>
      <c r="R203" s="54"/>
      <c r="S203" s="70"/>
    </row>
    <row r="204" ht="16.5" customHeight="1">
      <c r="A204" s="54"/>
      <c r="B204" s="64" t="n">
        <v>84</v>
      </c>
      <c r="C204" s="64" t="s">
        <v>630</v>
      </c>
      <c r="D204" s="64"/>
      <c r="E204" s="64"/>
      <c r="F204" s="64" t="s">
        <v>627</v>
      </c>
      <c r="G204" s="64" t="n">
        <v>1851</v>
      </c>
      <c r="H204" s="54"/>
      <c r="I204" s="54"/>
      <c r="J204" s="54"/>
      <c r="K204" s="67" t="n">
        <v>71</v>
      </c>
      <c r="L204" s="67" t="s">
        <v>609</v>
      </c>
      <c r="M204" s="67"/>
      <c r="N204" s="67"/>
      <c r="O204" s="68" t="s">
        <v>610</v>
      </c>
      <c r="P204" s="67" t="n">
        <v>1046</v>
      </c>
      <c r="Q204" s="54"/>
      <c r="R204" s="54"/>
      <c r="S204" s="70"/>
    </row>
    <row r="205" ht="16.5" customHeight="1">
      <c r="A205" s="54"/>
      <c r="B205" s="64" t="n">
        <v>85</v>
      </c>
      <c r="C205" s="64" t="s">
        <v>631</v>
      </c>
      <c r="D205" s="64"/>
      <c r="E205" s="64"/>
      <c r="F205" s="64" t="s">
        <v>632</v>
      </c>
      <c r="G205" s="64" t="n">
        <v>1149</v>
      </c>
      <c r="H205" s="54"/>
      <c r="I205" s="54"/>
      <c r="J205" s="54"/>
      <c r="K205" s="67" t="n">
        <v>74</v>
      </c>
      <c r="L205" s="67" t="s">
        <v>614</v>
      </c>
      <c r="M205" s="67"/>
      <c r="N205" s="67"/>
      <c r="O205" s="68" t="s">
        <v>612</v>
      </c>
      <c r="P205" s="67" t="n">
        <v>728</v>
      </c>
      <c r="Q205" s="54"/>
      <c r="R205" s="54"/>
      <c r="S205" s="70"/>
    </row>
    <row r="206" ht="16.5" customHeight="1">
      <c r="A206" s="72"/>
      <c r="B206" s="72"/>
      <c r="C206" s="72"/>
      <c r="D206" s="72"/>
      <c r="E206" s="72"/>
      <c r="F206" s="72"/>
      <c r="G206" s="72"/>
      <c r="H206" s="72"/>
      <c r="I206" s="73"/>
      <c r="J206" s="54"/>
      <c r="K206" s="67" t="n">
        <v>98</v>
      </c>
      <c r="L206" s="67" t="s">
        <v>650</v>
      </c>
      <c r="M206" s="67"/>
      <c r="N206" s="67"/>
      <c r="O206" s="68" t="s">
        <v>648</v>
      </c>
      <c r="P206" s="67" t="n">
        <v>538</v>
      </c>
      <c r="Q206" s="54"/>
      <c r="R206" s="54"/>
      <c r="S206" s="70"/>
    </row>
    <row r="207" ht="16.5" customHeight="1">
      <c r="A207" s="63" t="s">
        <v>39</v>
      </c>
      <c r="B207" s="64" t="s">
        <v>462</v>
      </c>
      <c r="C207" s="64" t="s">
        <v>463</v>
      </c>
      <c r="D207" s="64"/>
      <c r="E207" s="64"/>
      <c r="F207" s="64" t="s">
        <v>464</v>
      </c>
      <c r="G207" s="64" t="s">
        <v>465</v>
      </c>
      <c r="H207" s="65" t="s">
        <v>727</v>
      </c>
      <c r="I207" s="54"/>
      <c r="J207" s="54"/>
      <c r="K207" s="67" t="n">
        <v>104</v>
      </c>
      <c r="L207" s="67" t="s">
        <v>657</v>
      </c>
      <c r="M207" s="67"/>
      <c r="N207" s="67"/>
      <c r="O207" s="68" t="s">
        <v>655</v>
      </c>
      <c r="P207" s="67" t="n">
        <v>714</v>
      </c>
      <c r="Q207" s="54"/>
      <c r="R207" s="54"/>
      <c r="S207" s="70"/>
    </row>
    <row r="208" ht="16.5" customHeight="1">
      <c r="A208" s="54"/>
      <c r="B208" s="64" t="n">
        <v>17</v>
      </c>
      <c r="C208" s="64" t="s">
        <v>510</v>
      </c>
      <c r="D208" s="64"/>
      <c r="E208" s="64"/>
      <c r="F208" s="64" t="s">
        <v>511</v>
      </c>
      <c r="G208" s="64" t="n">
        <v>7146</v>
      </c>
      <c r="H208" s="84" t="s">
        <v>729</v>
      </c>
      <c r="I208" s="54"/>
      <c r="J208" s="54"/>
      <c r="K208" s="67" t="n">
        <v>110</v>
      </c>
      <c r="L208" s="67" t="s">
        <v>665</v>
      </c>
      <c r="M208" s="67"/>
      <c r="N208" s="67"/>
      <c r="O208" s="68" t="s">
        <v>662</v>
      </c>
      <c r="P208" s="67" t="n">
        <v>790</v>
      </c>
      <c r="Q208" s="54"/>
      <c r="R208" s="54"/>
      <c r="S208" s="70"/>
    </row>
    <row r="209" ht="16.5" customHeight="1">
      <c r="A209" s="54"/>
      <c r="B209" s="64" t="n">
        <v>23</v>
      </c>
      <c r="C209" s="64" t="s">
        <v>524</v>
      </c>
      <c r="D209" s="64"/>
      <c r="E209" s="64"/>
      <c r="F209" s="64" t="s">
        <v>525</v>
      </c>
      <c r="G209" s="64" t="n">
        <v>4263</v>
      </c>
      <c r="H209" s="54"/>
      <c r="I209" s="54"/>
      <c r="J209" s="54"/>
      <c r="K209" s="67" t="n">
        <v>137</v>
      </c>
      <c r="L209" s="67" t="s">
        <v>702</v>
      </c>
      <c r="M209" s="67"/>
      <c r="N209" s="67"/>
      <c r="O209" s="74" t="s">
        <v>732</v>
      </c>
      <c r="P209" s="67" t="n">
        <v>527</v>
      </c>
      <c r="Q209" s="54"/>
      <c r="R209" s="54"/>
      <c r="S209" s="70"/>
    </row>
    <row r="210" ht="16.5" customHeight="1">
      <c r="A210" s="54"/>
      <c r="B210" s="64" t="n">
        <v>62</v>
      </c>
      <c r="C210" s="64" t="s">
        <v>596</v>
      </c>
      <c r="D210" s="64"/>
      <c r="E210" s="64"/>
      <c r="F210" s="64" t="s">
        <v>597</v>
      </c>
      <c r="G210" s="64" t="n">
        <v>1135</v>
      </c>
      <c r="H210" s="54"/>
      <c r="I210" s="54"/>
      <c r="J210" s="54"/>
      <c r="K210" s="67" t="n">
        <v>153</v>
      </c>
      <c r="L210" s="67" t="s">
        <v>718</v>
      </c>
      <c r="M210" s="67"/>
      <c r="N210" s="67"/>
      <c r="O210" s="74" t="s">
        <v>733</v>
      </c>
      <c r="P210" s="67" t="n">
        <v>669</v>
      </c>
      <c r="Q210" s="54"/>
      <c r="R210" s="54"/>
      <c r="S210" s="56"/>
    </row>
    <row r="211" ht="16.5" customHeight="1">
      <c r="A211" s="54"/>
      <c r="B211" s="64" t="n">
        <v>70</v>
      </c>
      <c r="C211" s="64" t="s">
        <v>608</v>
      </c>
      <c r="D211" s="64"/>
      <c r="E211" s="64"/>
      <c r="F211" s="64" t="s">
        <v>517</v>
      </c>
      <c r="G211" s="64" t="n">
        <v>1339</v>
      </c>
      <c r="H211" s="54"/>
      <c r="I211" s="54"/>
      <c r="J211" s="72"/>
      <c r="K211" s="72"/>
      <c r="L211" s="72"/>
      <c r="M211" s="72"/>
      <c r="N211" s="72"/>
      <c r="O211" s="72"/>
      <c r="P211" s="72"/>
      <c r="Q211" s="72"/>
      <c r="R211" s="72"/>
      <c r="S211" s="56"/>
    </row>
    <row r="212" ht="16.5" customHeight="1">
      <c r="A212" s="54"/>
      <c r="B212" s="64" t="n">
        <v>81</v>
      </c>
      <c r="C212" s="64" t="s">
        <v>624</v>
      </c>
      <c r="D212" s="64"/>
      <c r="E212" s="64"/>
      <c r="F212" s="64" t="s">
        <v>625</v>
      </c>
      <c r="G212" s="64" t="n">
        <v>1372</v>
      </c>
      <c r="H212" s="54"/>
      <c r="I212" s="54"/>
      <c r="J212" s="69" t="s">
        <v>435</v>
      </c>
      <c r="K212" s="67" t="s">
        <v>462</v>
      </c>
      <c r="L212" s="67" t="s">
        <v>463</v>
      </c>
      <c r="M212" s="67"/>
      <c r="N212" s="67"/>
      <c r="O212" s="68" t="s">
        <v>464</v>
      </c>
      <c r="P212" s="67" t="s">
        <v>465</v>
      </c>
      <c r="Q212" s="66" t="s">
        <v>727</v>
      </c>
      <c r="R212" s="54"/>
      <c r="S212" s="56"/>
    </row>
    <row r="213" ht="16.5" customHeight="1">
      <c r="A213" s="54"/>
      <c r="B213" s="64" t="n">
        <v>111</v>
      </c>
      <c r="C213" s="64" t="s">
        <v>666</v>
      </c>
      <c r="D213" s="64"/>
      <c r="E213" s="64"/>
      <c r="F213" s="64" t="s">
        <v>662</v>
      </c>
      <c r="G213" s="64" t="n">
        <v>1113</v>
      </c>
      <c r="H213" s="54"/>
      <c r="I213" s="54"/>
      <c r="J213" s="54"/>
      <c r="K213" s="67" t="n">
        <v>27</v>
      </c>
      <c r="L213" s="67" t="s">
        <v>532</v>
      </c>
      <c r="M213" s="67"/>
      <c r="N213" s="67"/>
      <c r="O213" s="68" t="s">
        <v>533</v>
      </c>
      <c r="P213" s="67" t="n">
        <v>2055</v>
      </c>
      <c r="Q213" s="66" t="s">
        <v>734</v>
      </c>
      <c r="R213" s="54"/>
      <c r="S213" s="56"/>
    </row>
    <row r="214" ht="16.5" customHeight="1">
      <c r="A214" s="54"/>
      <c r="B214" s="64" t="n">
        <v>117</v>
      </c>
      <c r="C214" s="64" t="s">
        <v>675</v>
      </c>
      <c r="D214" s="64"/>
      <c r="E214" s="64"/>
      <c r="F214" s="64" t="s">
        <v>674</v>
      </c>
      <c r="G214" s="64" t="n">
        <v>1361</v>
      </c>
      <c r="H214" s="54"/>
      <c r="I214" s="54"/>
      <c r="J214" s="54"/>
      <c r="K214" s="67" t="n">
        <v>45</v>
      </c>
      <c r="L214" s="67" t="s">
        <v>568</v>
      </c>
      <c r="M214" s="67"/>
      <c r="N214" s="67"/>
      <c r="O214" s="68" t="s">
        <v>569</v>
      </c>
      <c r="P214" s="67" t="n">
        <v>766</v>
      </c>
      <c r="Q214" s="54"/>
      <c r="R214" s="54"/>
      <c r="S214" s="56"/>
    </row>
    <row r="215" ht="16.5" customHeight="1">
      <c r="A215" s="54"/>
      <c r="B215" s="64" t="n">
        <v>157</v>
      </c>
      <c r="C215" s="64" t="s">
        <v>722</v>
      </c>
      <c r="D215" s="64"/>
      <c r="E215" s="64"/>
      <c r="F215" s="64" t="n">
        <v>8158</v>
      </c>
      <c r="G215" s="64" t="n">
        <v>1109</v>
      </c>
      <c r="H215" s="54"/>
      <c r="I215" s="54"/>
      <c r="J215" s="54"/>
      <c r="K215" s="67" t="n">
        <v>47</v>
      </c>
      <c r="L215" s="67" t="s">
        <v>572</v>
      </c>
      <c r="M215" s="67"/>
      <c r="N215" s="67"/>
      <c r="O215" s="68" t="s">
        <v>573</v>
      </c>
      <c r="P215" s="67" t="n">
        <v>702</v>
      </c>
      <c r="Q215" s="54"/>
      <c r="R215" s="54"/>
      <c r="S215" s="56"/>
    </row>
    <row r="216" ht="16.5" customHeight="1">
      <c r="A216" s="72"/>
      <c r="B216" s="72"/>
      <c r="C216" s="72"/>
      <c r="D216" s="72"/>
      <c r="E216" s="72"/>
      <c r="F216" s="72"/>
      <c r="G216" s="72"/>
      <c r="H216" s="72"/>
      <c r="I216" s="73"/>
      <c r="J216" s="54"/>
      <c r="K216" s="67" t="n">
        <v>82</v>
      </c>
      <c r="L216" s="67" t="s">
        <v>626</v>
      </c>
      <c r="M216" s="67"/>
      <c r="N216" s="67"/>
      <c r="O216" s="68" t="s">
        <v>627</v>
      </c>
      <c r="P216" s="67" t="n">
        <v>519</v>
      </c>
      <c r="Q216" s="54"/>
      <c r="R216" s="54"/>
      <c r="S216" s="56"/>
    </row>
    <row r="217" ht="16.5" customHeight="1">
      <c r="A217" s="63" t="s">
        <v>735</v>
      </c>
      <c r="B217" s="64" t="s">
        <v>462</v>
      </c>
      <c r="C217" s="64" t="s">
        <v>463</v>
      </c>
      <c r="D217" s="64"/>
      <c r="E217" s="64"/>
      <c r="F217" s="64" t="s">
        <v>464</v>
      </c>
      <c r="G217" s="64" t="s">
        <v>465</v>
      </c>
      <c r="H217" s="65" t="s">
        <v>727</v>
      </c>
      <c r="I217" s="54"/>
      <c r="J217" s="54"/>
      <c r="K217" s="67" t="n">
        <v>115</v>
      </c>
      <c r="L217" s="67" t="s">
        <v>671</v>
      </c>
      <c r="M217" s="67"/>
      <c r="N217" s="67"/>
      <c r="O217" s="68" t="s">
        <v>672</v>
      </c>
      <c r="P217" s="67" t="n">
        <v>474</v>
      </c>
      <c r="Q217" s="54"/>
      <c r="R217" s="54"/>
      <c r="S217" s="56"/>
    </row>
    <row r="218" ht="16.5" customHeight="1">
      <c r="A218" s="54"/>
      <c r="B218" s="64" t="n">
        <v>16</v>
      </c>
      <c r="C218" s="64" t="s">
        <v>507</v>
      </c>
      <c r="D218" s="64"/>
      <c r="E218" s="64"/>
      <c r="F218" s="64" t="s">
        <v>508</v>
      </c>
      <c r="G218" s="64" t="n">
        <v>4547</v>
      </c>
      <c r="H218" s="65" t="s">
        <v>736</v>
      </c>
      <c r="I218" s="54"/>
      <c r="J218" s="54"/>
      <c r="K218" s="67" t="n">
        <v>146</v>
      </c>
      <c r="L218" s="67" t="s">
        <v>711</v>
      </c>
      <c r="M218" s="67"/>
      <c r="N218" s="67"/>
      <c r="O218" s="74" t="s">
        <v>737</v>
      </c>
      <c r="P218" s="67" t="n">
        <v>543</v>
      </c>
      <c r="Q218" s="54"/>
      <c r="R218" s="54"/>
      <c r="S218" s="56"/>
    </row>
    <row r="219" ht="16.5" customHeight="1">
      <c r="A219" s="54"/>
      <c r="B219" s="64" t="n">
        <v>20</v>
      </c>
      <c r="C219" s="64" t="s">
        <v>518</v>
      </c>
      <c r="D219" s="64"/>
      <c r="E219" s="64"/>
      <c r="F219" s="64" t="s">
        <v>519</v>
      </c>
      <c r="G219" s="64" t="n">
        <v>4278</v>
      </c>
      <c r="H219" s="54"/>
      <c r="I219" s="54"/>
      <c r="J219" s="54"/>
      <c r="K219" s="67" t="n">
        <v>147</v>
      </c>
      <c r="L219" s="67" t="s">
        <v>712</v>
      </c>
      <c r="M219" s="67"/>
      <c r="N219" s="67"/>
      <c r="O219" s="74" t="s">
        <v>738</v>
      </c>
      <c r="P219" s="67" t="n">
        <v>198</v>
      </c>
      <c r="Q219" s="54"/>
      <c r="R219" s="54"/>
      <c r="S219" s="56"/>
    </row>
    <row r="220" ht="16.5" customHeight="1">
      <c r="A220" s="54"/>
      <c r="B220" s="64" t="n">
        <v>25</v>
      </c>
      <c r="C220" s="64" t="s">
        <v>528</v>
      </c>
      <c r="D220" s="64"/>
      <c r="E220" s="64"/>
      <c r="F220" s="64" t="s">
        <v>529</v>
      </c>
      <c r="G220" s="64" t="n">
        <v>3339</v>
      </c>
      <c r="H220" s="54"/>
      <c r="I220" s="54"/>
      <c r="J220" s="72"/>
      <c r="K220" s="72"/>
      <c r="L220" s="72"/>
      <c r="M220" s="72"/>
      <c r="N220" s="72"/>
      <c r="O220" s="72"/>
      <c r="P220" s="72"/>
      <c r="Q220" s="72"/>
      <c r="R220" s="72"/>
      <c r="S220" s="56"/>
    </row>
    <row r="221" ht="16.5" customHeight="1">
      <c r="A221" s="54"/>
      <c r="B221" s="64" t="n">
        <v>51</v>
      </c>
      <c r="C221" s="64" t="s">
        <v>580</v>
      </c>
      <c r="D221" s="64"/>
      <c r="E221" s="64"/>
      <c r="F221" s="64" t="s">
        <v>579</v>
      </c>
      <c r="G221" s="64" t="n">
        <v>998</v>
      </c>
      <c r="H221" s="54"/>
      <c r="I221" s="54"/>
      <c r="J221" s="75" t="s">
        <v>476</v>
      </c>
      <c r="K221" s="76" t="s">
        <v>462</v>
      </c>
      <c r="L221" s="76" t="s">
        <v>463</v>
      </c>
      <c r="M221" s="76"/>
      <c r="N221" s="76"/>
      <c r="O221" s="77" t="s">
        <v>464</v>
      </c>
      <c r="P221" s="76" t="s">
        <v>465</v>
      </c>
      <c r="Q221" s="78" t="s">
        <v>727</v>
      </c>
      <c r="R221" s="54"/>
      <c r="S221" s="56"/>
    </row>
    <row r="222" ht="16.5" customHeight="1">
      <c r="A222" s="54"/>
      <c r="B222" s="64" t="n">
        <v>52</v>
      </c>
      <c r="C222" s="64" t="s">
        <v>581</v>
      </c>
      <c r="D222" s="64"/>
      <c r="E222" s="64"/>
      <c r="F222" s="64" t="s">
        <v>579</v>
      </c>
      <c r="G222" s="64" t="n">
        <v>93</v>
      </c>
      <c r="H222" s="54"/>
      <c r="I222" s="54"/>
      <c r="J222" s="54"/>
      <c r="K222" s="76" t="n">
        <v>4</v>
      </c>
      <c r="L222" s="76" t="s">
        <v>476</v>
      </c>
      <c r="M222" s="76"/>
      <c r="N222" s="76"/>
      <c r="O222" s="77" t="s">
        <v>477</v>
      </c>
      <c r="P222" s="76" t="s">
        <v>478</v>
      </c>
      <c r="Q222" s="78" t="s">
        <v>739</v>
      </c>
      <c r="R222" s="54"/>
      <c r="S222" s="56"/>
    </row>
    <row r="223" ht="16.5" customHeight="1">
      <c r="A223" s="54"/>
      <c r="B223" s="64" t="n">
        <v>54</v>
      </c>
      <c r="C223" s="64" t="s">
        <v>584</v>
      </c>
      <c r="D223" s="64"/>
      <c r="E223" s="64"/>
      <c r="F223" s="64" t="s">
        <v>492</v>
      </c>
      <c r="G223" s="64" t="n">
        <v>257</v>
      </c>
      <c r="H223" s="54"/>
      <c r="I223" s="54"/>
      <c r="J223" s="54"/>
      <c r="K223" s="76" t="n">
        <v>14</v>
      </c>
      <c r="L223" s="76" t="s">
        <v>503</v>
      </c>
      <c r="M223" s="76"/>
      <c r="N223" s="76"/>
      <c r="O223" s="77" t="s">
        <v>504</v>
      </c>
      <c r="P223" s="76" t="n">
        <v>6552</v>
      </c>
      <c r="Q223" s="54"/>
      <c r="R223" s="54"/>
      <c r="S223" s="56"/>
    </row>
    <row r="224" ht="16.5" customHeight="1">
      <c r="A224" s="54"/>
      <c r="B224" s="64" t="n">
        <v>58</v>
      </c>
      <c r="C224" s="64" t="s">
        <v>590</v>
      </c>
      <c r="D224" s="64"/>
      <c r="E224" s="64"/>
      <c r="F224" s="64" t="s">
        <v>591</v>
      </c>
      <c r="G224" s="64" t="n">
        <v>958</v>
      </c>
      <c r="H224" s="54"/>
      <c r="I224" s="54"/>
      <c r="J224" s="54"/>
      <c r="K224" s="76" t="n">
        <v>15</v>
      </c>
      <c r="L224" s="76" t="s">
        <v>505</v>
      </c>
      <c r="M224" s="76"/>
      <c r="N224" s="76"/>
      <c r="O224" s="77" t="s">
        <v>506</v>
      </c>
      <c r="P224" s="76" t="n">
        <v>8913</v>
      </c>
      <c r="Q224" s="54"/>
      <c r="R224" s="54"/>
      <c r="S224" s="56"/>
    </row>
    <row r="225" ht="16.5" customHeight="1">
      <c r="A225" s="54"/>
      <c r="B225" s="64" t="n">
        <v>61</v>
      </c>
      <c r="C225" s="64" t="s">
        <v>595</v>
      </c>
      <c r="D225" s="64"/>
      <c r="E225" s="64"/>
      <c r="F225" s="64" t="s">
        <v>594</v>
      </c>
      <c r="G225" s="64" t="n">
        <v>710</v>
      </c>
      <c r="H225" s="54"/>
      <c r="I225" s="54"/>
      <c r="J225" s="54"/>
      <c r="K225" s="76" t="n">
        <v>28</v>
      </c>
      <c r="L225" s="76" t="s">
        <v>535</v>
      </c>
      <c r="M225" s="76"/>
      <c r="N225" s="76"/>
      <c r="O225" s="77" t="s">
        <v>536</v>
      </c>
      <c r="P225" s="76" t="n">
        <v>3594</v>
      </c>
      <c r="Q225" s="54"/>
      <c r="R225" s="54"/>
      <c r="S225" s="56"/>
    </row>
    <row r="226" ht="16.5" customHeight="1">
      <c r="A226" s="54"/>
      <c r="B226" s="64" t="n">
        <v>73</v>
      </c>
      <c r="C226" s="64" t="s">
        <v>613</v>
      </c>
      <c r="D226" s="64"/>
      <c r="E226" s="64"/>
      <c r="F226" s="64" t="s">
        <v>612</v>
      </c>
      <c r="G226" s="64" t="n">
        <v>756</v>
      </c>
      <c r="H226" s="54"/>
      <c r="I226" s="54"/>
      <c r="J226" s="54"/>
      <c r="K226" s="76" t="n">
        <v>41</v>
      </c>
      <c r="L226" s="76" t="s">
        <v>560</v>
      </c>
      <c r="M226" s="76"/>
      <c r="N226" s="76"/>
      <c r="O226" s="77" t="s">
        <v>561</v>
      </c>
      <c r="P226" s="76" t="n">
        <v>1702</v>
      </c>
      <c r="Q226" s="54"/>
      <c r="R226" s="54"/>
      <c r="S226" s="56"/>
    </row>
    <row r="227" ht="16.5" customHeight="1">
      <c r="A227" s="54"/>
      <c r="B227" s="64" t="n">
        <v>77</v>
      </c>
      <c r="C227" s="64" t="s">
        <v>618</v>
      </c>
      <c r="D227" s="64"/>
      <c r="E227" s="64"/>
      <c r="F227" s="64" t="s">
        <v>619</v>
      </c>
      <c r="G227" s="64" t="n">
        <v>892</v>
      </c>
      <c r="H227" s="54"/>
      <c r="I227" s="54"/>
      <c r="J227" s="54"/>
      <c r="K227" s="76" t="n">
        <v>42</v>
      </c>
      <c r="L227" s="76" t="s">
        <v>562</v>
      </c>
      <c r="M227" s="76"/>
      <c r="N227" s="76"/>
      <c r="O227" s="77" t="s">
        <v>563</v>
      </c>
      <c r="P227" s="76" t="n">
        <v>1730</v>
      </c>
      <c r="Q227" s="54"/>
      <c r="R227" s="54"/>
      <c r="S227" s="56"/>
    </row>
    <row r="228" ht="16.5" customHeight="1">
      <c r="A228" s="54"/>
      <c r="B228" s="64" t="n">
        <v>91</v>
      </c>
      <c r="C228" s="64" t="s">
        <v>640</v>
      </c>
      <c r="D228" s="64"/>
      <c r="E228" s="64"/>
      <c r="F228" s="64" t="s">
        <v>641</v>
      </c>
      <c r="G228" s="64" t="n">
        <v>637</v>
      </c>
      <c r="H228" s="54"/>
      <c r="I228" s="54"/>
      <c r="J228" s="54"/>
      <c r="K228" s="76" t="n">
        <v>124</v>
      </c>
      <c r="L228" s="76" t="s">
        <v>686</v>
      </c>
      <c r="M228" s="76"/>
      <c r="N228" s="76"/>
      <c r="O228" s="77" t="s">
        <v>683</v>
      </c>
      <c r="P228" s="76" t="n">
        <v>1254</v>
      </c>
      <c r="Q228" s="54"/>
      <c r="R228" s="54"/>
      <c r="S228" s="56"/>
    </row>
    <row r="229" ht="16.5" customHeight="1">
      <c r="A229" s="54"/>
      <c r="B229" s="64" t="n">
        <v>96</v>
      </c>
      <c r="C229" s="64" t="s">
        <v>647</v>
      </c>
      <c r="D229" s="64"/>
      <c r="E229" s="64"/>
      <c r="F229" s="64" t="s">
        <v>648</v>
      </c>
      <c r="G229" s="64" t="n">
        <v>925</v>
      </c>
      <c r="H229" s="54"/>
      <c r="I229" s="54"/>
      <c r="J229" s="54"/>
      <c r="K229" s="76" t="n">
        <v>130</v>
      </c>
      <c r="L229" s="76" t="s">
        <v>695</v>
      </c>
      <c r="M229" s="76"/>
      <c r="N229" s="76"/>
      <c r="O229" s="79" t="s">
        <v>740</v>
      </c>
      <c r="P229" s="76" t="n">
        <v>512</v>
      </c>
      <c r="Q229" s="54"/>
      <c r="R229" s="54"/>
      <c r="S229" s="56"/>
    </row>
    <row r="230" ht="16.5" customHeight="1">
      <c r="A230" s="54"/>
      <c r="B230" s="64" t="n">
        <v>116</v>
      </c>
      <c r="C230" s="64" t="s">
        <v>673</v>
      </c>
      <c r="D230" s="64"/>
      <c r="E230" s="64"/>
      <c r="F230" s="64" t="s">
        <v>674</v>
      </c>
      <c r="G230" s="64" t="n">
        <v>678</v>
      </c>
      <c r="H230" s="54"/>
      <c r="I230" s="54"/>
      <c r="J230" s="54"/>
      <c r="K230" s="76" t="n">
        <v>145</v>
      </c>
      <c r="L230" s="76" t="s">
        <v>710</v>
      </c>
      <c r="M230" s="76"/>
      <c r="N230" s="76"/>
      <c r="O230" s="79" t="s">
        <v>741</v>
      </c>
      <c r="P230" s="76" t="n">
        <v>837</v>
      </c>
      <c r="Q230" s="54"/>
      <c r="R230" s="54"/>
      <c r="S230" s="56"/>
    </row>
    <row r="231" ht="16.5" customHeight="1">
      <c r="A231" s="54"/>
      <c r="B231" s="64" t="n">
        <v>123</v>
      </c>
      <c r="C231" s="64" t="s">
        <v>685</v>
      </c>
      <c r="D231" s="64"/>
      <c r="E231" s="64"/>
      <c r="F231" s="64" t="s">
        <v>683</v>
      </c>
      <c r="G231" s="64" t="n">
        <v>783</v>
      </c>
      <c r="H231" s="54"/>
      <c r="I231" s="54"/>
      <c r="J231" s="72"/>
      <c r="K231" s="72"/>
      <c r="L231" s="72"/>
      <c r="M231" s="72"/>
      <c r="N231" s="72"/>
      <c r="O231" s="72"/>
      <c r="P231" s="72"/>
      <c r="Q231" s="72"/>
      <c r="R231" s="72"/>
      <c r="S231" s="56"/>
    </row>
    <row r="232" ht="16.5" customHeight="1">
      <c r="A232" s="54"/>
      <c r="B232" s="64" t="n">
        <v>129</v>
      </c>
      <c r="C232" s="64" t="s">
        <v>694</v>
      </c>
      <c r="D232" s="64"/>
      <c r="E232" s="64"/>
      <c r="F232" s="80" t="s">
        <v>742</v>
      </c>
      <c r="G232" s="64" t="n">
        <v>618</v>
      </c>
      <c r="H232" s="54"/>
      <c r="I232" s="54"/>
      <c r="J232" s="75" t="s">
        <v>125</v>
      </c>
      <c r="K232" s="76" t="s">
        <v>462</v>
      </c>
      <c r="L232" s="76" t="s">
        <v>463</v>
      </c>
      <c r="M232" s="76"/>
      <c r="N232" s="76"/>
      <c r="O232" s="77" t="s">
        <v>464</v>
      </c>
      <c r="P232" s="76" t="s">
        <v>465</v>
      </c>
      <c r="Q232" s="78" t="s">
        <v>727</v>
      </c>
      <c r="R232" s="54"/>
      <c r="S232" s="56"/>
    </row>
    <row r="233" ht="16.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4"/>
      <c r="K233" s="76" t="n">
        <v>57</v>
      </c>
      <c r="L233" s="76" t="s">
        <v>589</v>
      </c>
      <c r="M233" s="76"/>
      <c r="N233" s="76"/>
      <c r="O233" s="77" t="s">
        <v>588</v>
      </c>
      <c r="P233" s="76" t="n">
        <v>1154</v>
      </c>
      <c r="Q233" s="78" t="s">
        <v>739</v>
      </c>
      <c r="R233" s="54"/>
      <c r="S233" s="56"/>
    </row>
    <row r="234" ht="16.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4"/>
      <c r="K234" s="76" t="n">
        <v>148</v>
      </c>
      <c r="L234" s="76" t="s">
        <v>623</v>
      </c>
      <c r="M234" s="76"/>
      <c r="N234" s="76"/>
      <c r="O234" s="79" t="s">
        <v>743</v>
      </c>
      <c r="P234" s="76" t="n">
        <v>524</v>
      </c>
      <c r="Q234" s="54"/>
      <c r="R234" s="54"/>
      <c r="S234" s="56"/>
    </row>
    <row r="235" ht="16.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4"/>
      <c r="K235" s="76" t="n">
        <v>80</v>
      </c>
      <c r="L235" s="76" t="s">
        <v>709</v>
      </c>
      <c r="M235" s="76"/>
      <c r="N235" s="76"/>
      <c r="O235" s="77" t="s">
        <v>625</v>
      </c>
      <c r="P235" s="76" t="n">
        <v>933</v>
      </c>
      <c r="Q235" s="54"/>
      <c r="R235" s="54"/>
      <c r="S235" s="56"/>
    </row>
    <row r="236" ht="16.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4"/>
      <c r="K236" s="76" t="n">
        <v>144</v>
      </c>
      <c r="L236" s="76" t="s">
        <v>713</v>
      </c>
      <c r="M236" s="76"/>
      <c r="N236" s="76"/>
      <c r="O236" s="79" t="s">
        <v>744</v>
      </c>
      <c r="P236" s="76" t="n">
        <v>239</v>
      </c>
      <c r="Q236" s="54"/>
      <c r="R236" s="54"/>
      <c r="S236" s="56"/>
    </row>
    <row r="237" ht="16.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4"/>
      <c r="K237" s="76" t="n">
        <v>151</v>
      </c>
      <c r="L237" s="76" t="s">
        <v>716</v>
      </c>
      <c r="M237" s="76"/>
      <c r="N237" s="76"/>
      <c r="O237" s="79" t="s">
        <v>745</v>
      </c>
      <c r="P237" s="76" t="n">
        <v>440</v>
      </c>
      <c r="Q237" s="54"/>
      <c r="R237" s="54"/>
      <c r="S237" s="56"/>
    </row>
  </sheetData>
  <mergeCells count="28">
    <mergeCell ref="A1:Q1"/>
    <mergeCell ref="A2:A26"/>
    <mergeCell ref="B27:Q27"/>
    <mergeCell ref="A28:Q28"/>
    <mergeCell ref="A29:A188"/>
    <mergeCell ref="B189:R189"/>
    <mergeCell ref="A190:A205"/>
    <mergeCell ref="H190:I190"/>
    <mergeCell ref="J190:J197"/>
    <mergeCell ref="Q190:R190"/>
    <mergeCell ref="H191:I205"/>
    <mergeCell ref="Q191:R210"/>
    <mergeCell ref="J199:J210"/>
    <mergeCell ref="A207:A215"/>
    <mergeCell ref="H207:I207"/>
    <mergeCell ref="H208:I215"/>
    <mergeCell ref="J212:J219"/>
    <mergeCell ref="Q212:R212"/>
    <mergeCell ref="Q213:R219"/>
    <mergeCell ref="A217:A232"/>
    <mergeCell ref="H217:I217"/>
    <mergeCell ref="H218:I232"/>
    <mergeCell ref="J221:J230"/>
    <mergeCell ref="Q221:R221"/>
    <mergeCell ref="Q222:R230"/>
    <mergeCell ref="J232:J237"/>
    <mergeCell ref="Q232:R232"/>
    <mergeCell ref="Q233:R23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2025-12-02T11:16:41Z</dcterms:modified>
</cp:coreProperties>
</file>